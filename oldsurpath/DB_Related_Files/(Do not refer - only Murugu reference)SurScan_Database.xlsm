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spluser\Desktop\Omeon\SurScan\20141026 - DB Design - From Sindhu\"/>
    </mc:Choice>
  </mc:AlternateContent>
  <bookViews>
    <workbookView xWindow="0" yWindow="0" windowWidth="19200" windowHeight="8235" firstSheet="12" activeTab="13"/>
  </bookViews>
  <sheets>
    <sheet name="Donors" sheetId="2" r:id="rId1"/>
    <sheet name="DonorTestActivities" sheetId="31" r:id="rId2"/>
    <sheet name="DonorTestActivitiesStatus" sheetId="32" r:id="rId3"/>
    <sheet name="DonorTestInfo" sheetId="8" r:id="rId4"/>
    <sheet name="SpecimenTransportAgencies" sheetId="44" r:id="rId5"/>
    <sheet name="SpecimenCollectionCupTypes" sheetId="18" r:id="rId6"/>
    <sheet name="DonorTestInfoSpecimenCollCup" sheetId="19" r:id="rId7"/>
    <sheet name="ReasonsForTest" sheetId="9" r:id="rId8"/>
    <sheet name="DonorReasonForTest" sheetId="11" r:id="rId9"/>
    <sheet name="TestCategories" sheetId="12" r:id="rId10"/>
    <sheet name="TestTypes" sheetId="15" r:id="rId11"/>
    <sheet name="DonorTestInfoTestTypes" sheetId="20" r:id="rId12"/>
    <sheet name="TestNames" sheetId="5" r:id="rId13"/>
    <sheet name="TestPanels" sheetId="14" r:id="rId14"/>
    <sheet name="TestPanelTestNames" sheetId="23" r:id="rId15"/>
    <sheet name="DonorTestInfoTestPanels" sheetId="21" r:id="rId16"/>
    <sheet name="DonorTestResults" sheetId="10" r:id="rId17"/>
    <sheet name="DonorTestResultsLab" sheetId="26" r:id="rId18"/>
    <sheet name="LabResultStatus" sheetId="58" r:id="rId19"/>
    <sheet name="DonorTestResultsMRO" sheetId="27" r:id="rId20"/>
    <sheet name="MROResultStatus" sheetId="59" r:id="rId21"/>
    <sheet name="Clients" sheetId="1" r:id="rId22"/>
    <sheet name="ClientContacts" sheetId="17" r:id="rId23"/>
    <sheet name="ClientTypes" sheetId="7" r:id="rId24"/>
    <sheet name="ClientAddresses" sheetId="45" r:id="rId25"/>
    <sheet name="Vendors" sheetId="3" r:id="rId26"/>
    <sheet name="VendorAddresses" sheetId="55" r:id="rId27"/>
    <sheet name="VendorTypes" sheetId="4" r:id="rId28"/>
    <sheet name="VendorServices" sheetId="56" r:id="rId29"/>
    <sheet name="VendorVendorServices" sheetId="57" r:id="rId30"/>
    <sheet name="MROs" sheetId="6" r:id="rId31"/>
    <sheet name="Programs" sheetId="22" r:id="rId32"/>
    <sheet name="ProgramTestCategories" sheetId="49" r:id="rId33"/>
    <sheet name="ClientPrograms" sheetId="47" r:id="rId34"/>
    <sheet name="ProgramPanels" sheetId="24" r:id="rId35"/>
    <sheet name="ClientProgramPanelTestPanels" sheetId="25" r:id="rId36"/>
    <sheet name="SalesRespresentatives" sheetId="46" r:id="rId37"/>
    <sheet name="DonorActivityNotes" sheetId="28" r:id="rId38"/>
    <sheet name="DonorActivityCategories" sheetId="29" r:id="rId39"/>
    <sheet name="Documents" sheetId="60" r:id="rId40"/>
    <sheet name="DonorDocuments" sheetId="30" r:id="rId41"/>
    <sheet name="Attorneys" sheetId="33" r:id="rId42"/>
    <sheet name="Judges" sheetId="34" r:id="rId43"/>
    <sheet name="Courts" sheetId="35" r:id="rId44"/>
    <sheet name="PaymentDetails" sheetId="36" r:id="rId45"/>
    <sheet name="DonorLegalInfo" sheetId="38" r:id="rId46"/>
    <sheet name="ResultsSent" sheetId="39" r:id="rId47"/>
    <sheet name="TestingAuthorities" sheetId="37" r:id="rId48"/>
    <sheet name="DonorLegalInfoResultsSent" sheetId="40" r:id="rId49"/>
    <sheet name="ProgramDetails" sheetId="41" r:id="rId50"/>
    <sheet name="ClientVendors" sheetId="42" r:id="rId51"/>
    <sheet name="DonorAccounting" sheetId="43" r:id="rId52"/>
    <sheet name="Users" sheetId="51" r:id="rId53"/>
    <sheet name="AuthorizationRules" sheetId="52" r:id="rId54"/>
    <sheet name="AuthorizationRuleCategories" sheetId="53" r:id="rId55"/>
    <sheet name="UserAuthorizationRules" sheetId="54" r:id="rId56"/>
    <sheet name="ImmunizationRecords" sheetId="61" r:id="rId57"/>
    <sheet name="DonorImmunizationRecords" sheetId="62" r:id="rId58"/>
    <sheet name="ASSUMPTIONS" sheetId="63" r:id="rId59"/>
  </sheets>
  <definedNames>
    <definedName name="countsheets">ClientContacts!$A$19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31" l="1"/>
  <c r="F1" i="2"/>
  <c r="G23" i="2" l="1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1" i="2"/>
  <c r="G1" i="31"/>
  <c r="G3" i="31"/>
  <c r="G2" i="31"/>
  <c r="G4" i="31"/>
</calcChain>
</file>

<file path=xl/sharedStrings.xml><?xml version="1.0" encoding="utf-8"?>
<sst xmlns="http://schemas.openxmlformats.org/spreadsheetml/2006/main" count="1185" uniqueCount="427">
  <si>
    <t>Field Name</t>
  </si>
  <si>
    <t>DataType</t>
  </si>
  <si>
    <t>Constraints</t>
  </si>
  <si>
    <t>Comments</t>
  </si>
  <si>
    <t>donor_id</t>
  </si>
  <si>
    <t>donor_first_name</t>
  </si>
  <si>
    <t>donor_last_name</t>
  </si>
  <si>
    <t>donor_suffix</t>
  </si>
  <si>
    <t>donor_date_of_birth</t>
  </si>
  <si>
    <t>donor_address_1</t>
  </si>
  <si>
    <t>donor_address_2</t>
  </si>
  <si>
    <t>donor_city</t>
  </si>
  <si>
    <t>donor_state</t>
  </si>
  <si>
    <t>donor_zip</t>
  </si>
  <si>
    <t>donor_email</t>
  </si>
  <si>
    <t>user_id</t>
  </si>
  <si>
    <t>reason_for_test_id</t>
  </si>
  <si>
    <t>reason_for_test_name</t>
  </si>
  <si>
    <t>INT</t>
  </si>
  <si>
    <t>PK</t>
  </si>
  <si>
    <t>The Values would be
1   Pre-Employment
2   Random
3   Reasonable Suspicion/Cause
4   Return To Duty
5   Follow-up
6    Other</t>
  </si>
  <si>
    <t>test_category_id</t>
  </si>
  <si>
    <t>test_category_name</t>
  </si>
  <si>
    <t>test_type_id</t>
  </si>
  <si>
    <t>test_type_name</t>
  </si>
  <si>
    <t>FK</t>
  </si>
  <si>
    <t>test_id</t>
  </si>
  <si>
    <t>test_name</t>
  </si>
  <si>
    <t>screen</t>
  </si>
  <si>
    <t>confirmation</t>
  </si>
  <si>
    <t>The values are given here</t>
  </si>
  <si>
    <t>90 Day (Check Box)</t>
  </si>
  <si>
    <t> Other (Check Box)</t>
  </si>
  <si>
    <t> Other [Notation Field]</t>
  </si>
  <si>
    <t>180 Day (Check Box)</t>
  </si>
  <si>
    <t>270 Day (Check Box)</t>
  </si>
  <si>
    <t>360 Day (Check Box)</t>
  </si>
  <si>
    <t>Other (Check Box)</t>
  </si>
  <si>
    <t>Other [Notation Field]</t>
  </si>
  <si>
    <t>Hair Analysis</t>
  </si>
  <si>
    <t>DNA</t>
  </si>
  <si>
    <t>Urinalysis</t>
  </si>
  <si>
    <t>6 Panel Screening (Check Box)</t>
  </si>
  <si>
    <t> 14 Panel Screening (Check Box)</t>
  </si>
  <si>
    <t>5 Panel Screening (Check Box)</t>
  </si>
  <si>
    <t>7 Panel Screening (Check Box)</t>
  </si>
  <si>
    <t>9 Panel Screening (Check Box)</t>
  </si>
  <si>
    <t>10 Panel Screening (Check Box)</t>
  </si>
  <si>
    <t>12 Panel Screening (Check Box)</t>
  </si>
  <si>
    <t>test_panel_id</t>
  </si>
  <si>
    <t>test_panel_name</t>
  </si>
  <si>
    <t>test_name_id</t>
  </si>
  <si>
    <t>PK (FK with TestNames)</t>
  </si>
  <si>
    <t>client_id</t>
  </si>
  <si>
    <t>client_name</t>
  </si>
  <si>
    <t>client_division</t>
  </si>
  <si>
    <t>client_address_1</t>
  </si>
  <si>
    <t>client_address_2</t>
  </si>
  <si>
    <t>client_city</t>
  </si>
  <si>
    <t>client_state</t>
  </si>
  <si>
    <t>client_zip</t>
  </si>
  <si>
    <t>client_phone</t>
  </si>
  <si>
    <t>client_fax</t>
  </si>
  <si>
    <t>client_email</t>
  </si>
  <si>
    <t>client_contact_first_name</t>
  </si>
  <si>
    <t>client_contact_last_name</t>
  </si>
  <si>
    <t>client_contact_title</t>
  </si>
  <si>
    <t>client_contact_id</t>
  </si>
  <si>
    <t>client_contact_phone</t>
  </si>
  <si>
    <t>client_contact_fax</t>
  </si>
  <si>
    <t>client_contact_email</t>
  </si>
  <si>
    <t>client_contact_admin_authority</t>
  </si>
  <si>
    <t>client_contact_manager_authority</t>
  </si>
  <si>
    <t>client_contact_user_authority</t>
  </si>
  <si>
    <t>vendor_type_id</t>
  </si>
  <si>
    <t>vendor_type_name</t>
  </si>
  <si>
    <t>The values for vendors are
Collection Centres and Labs</t>
  </si>
  <si>
    <t>vendor_id</t>
  </si>
  <si>
    <t>vendor_name</t>
  </si>
  <si>
    <t>vendor_address_1</t>
  </si>
  <si>
    <t>vendor_address_2</t>
  </si>
  <si>
    <t>vendor_city</t>
  </si>
  <si>
    <t>vendor_state</t>
  </si>
  <si>
    <t>vendor_zip</t>
  </si>
  <si>
    <t>vendor_phone</t>
  </si>
  <si>
    <t>vendor_fax</t>
  </si>
  <si>
    <t>vendor_email</t>
  </si>
  <si>
    <t>mro_id</t>
  </si>
  <si>
    <t>mro_lab_code</t>
  </si>
  <si>
    <t>mro_first_name</t>
  </si>
  <si>
    <t>mro_last_name</t>
  </si>
  <si>
    <t>mro_suffix</t>
  </si>
  <si>
    <t>mro_address_1</t>
  </si>
  <si>
    <t>mro_address_2</t>
  </si>
  <si>
    <t>mro_city</t>
  </si>
  <si>
    <t>mro_state</t>
  </si>
  <si>
    <t>mro_zip</t>
  </si>
  <si>
    <t>mro_phone</t>
  </si>
  <si>
    <t>mro_fax</t>
  </si>
  <si>
    <t>mro_email</t>
  </si>
  <si>
    <t>vendor_code</t>
  </si>
  <si>
    <t>For Collection centre it is the Collection Site Code.
For Lab it is the Lab Code</t>
  </si>
  <si>
    <t>donor_test_info_id</t>
  </si>
  <si>
    <t>specimen_id_number</t>
  </si>
  <si>
    <t>is_temperature_in_range</t>
  </si>
  <si>
    <t>specimen_collection_cup_type_id</t>
  </si>
  <si>
    <t>specimen_collection_cup_type_name</t>
  </si>
  <si>
    <t>Urine Split (Check Box)
Urine Single (Check Box)
Saliva (Check Box)
Blood (Check Box)
Other (Check Box)
 If Other [Specimen Collection Type] specified in DonorSpecimenCollectionCup</t>
  </si>
  <si>
    <t>reason_for_test_name_other</t>
  </si>
  <si>
    <t>specimen_collection_cup_type_name_other</t>
  </si>
  <si>
    <t>Allow Null</t>
  </si>
  <si>
    <t>temperature_of_specimen</t>
  </si>
  <si>
    <t>is_observed</t>
  </si>
  <si>
    <t>is_form_federal</t>
  </si>
  <si>
    <t>vendor_first_name</t>
  </si>
  <si>
    <t>vendor_last_name</t>
  </si>
  <si>
    <t>vendor_admin_authority</t>
  </si>
  <si>
    <t>vendor_manager_authority</t>
  </si>
  <si>
    <t>vendor_user_authority</t>
  </si>
  <si>
    <t>For Collection centre it is the Collector First Name.
For Lab it is the Lab Accessioner's First Name</t>
  </si>
  <si>
    <t>For Collection centre it is the Collector Last Name.
For Lab it is the Lab Accessioner's Last Name</t>
  </si>
  <si>
    <t>For Collection centre it is the Collector Admin Authority
For Lab it is the Lab Accessioner's Admin Authority</t>
  </si>
  <si>
    <t>For Collection centre it is the Collector Manager Authority.
For Lab it is the Lab Accessioner's Manager Authority</t>
  </si>
  <si>
    <t>For Collection centre it is the Collector User Authority.
For Lab it is the Lab Accessioner's User Authority</t>
  </si>
  <si>
    <t>date_of_specimen_collection</t>
  </si>
  <si>
    <t>time_of_specimen_collection</t>
  </si>
  <si>
    <t>collection_site_id</t>
  </si>
  <si>
    <t>FK with vendor_id
 of Vendors table</t>
  </si>
  <si>
    <t>FK with Clients table</t>
  </si>
  <si>
    <t>program_id</t>
  </si>
  <si>
    <t>donor_gender</t>
  </si>
  <si>
    <t>FK with Programs table</t>
  </si>
  <si>
    <t>client_type_id</t>
  </si>
  <si>
    <t>client_type_name</t>
  </si>
  <si>
    <r>
      <t xml:space="preserve">The Client Types are 
Company
School
Legal
Individual
</t>
    </r>
    <r>
      <rPr>
        <b/>
        <sz val="11"/>
        <color rgb="FFFF0000"/>
        <rFont val="Calibri"/>
        <family val="2"/>
        <scheme val="minor"/>
      </rPr>
      <t>Collection Only
    eScreen
    Other</t>
    </r>
    <r>
      <rPr>
        <sz val="11"/>
        <color theme="1"/>
        <rFont val="Calibri"/>
        <family val="2"/>
        <scheme val="minor"/>
      </rPr>
      <t xml:space="preserve">
</t>
    </r>
  </si>
  <si>
    <t>What is Collection Only?</t>
  </si>
  <si>
    <t>PK (FK with TestPanels)</t>
  </si>
  <si>
    <t>program_name</t>
  </si>
  <si>
    <t>program_panel_id</t>
  </si>
  <si>
    <t>program_panel_name</t>
  </si>
  <si>
    <t>FK with Programs</t>
  </si>
  <si>
    <t>The Program Panels
Main Test Panel
Alt Test Panel 1
Alt Test Panel 2
Alt Test Panel 3
Alt Test Panel 4</t>
  </si>
  <si>
    <t>PK (FK with ProgramPanels)</t>
  </si>
  <si>
    <t>PK (FK with TestCategories)</t>
  </si>
  <si>
    <t>PK (FK with DonorTestInfo)</t>
  </si>
  <si>
    <t>donor_test_result_id</t>
  </si>
  <si>
    <t>FK with Donors</t>
  </si>
  <si>
    <t>FK with DonorTestInfo</t>
  </si>
  <si>
    <t>lab_id</t>
  </si>
  <si>
    <t>FK with Vendors table vendor_id</t>
  </si>
  <si>
    <t xml:space="preserve">FK with MROs table </t>
  </si>
  <si>
    <t>creatinine_level_status</t>
  </si>
  <si>
    <t>creatinine_level_result</t>
  </si>
  <si>
    <t>lab_received_date</t>
  </si>
  <si>
    <t>lab_reported_date</t>
  </si>
  <si>
    <t>lab_accession_number</t>
  </si>
  <si>
    <t>Is this different from Labid?</t>
  </si>
  <si>
    <t>mro_date_reported</t>
  </si>
  <si>
    <t>mro_date_verified</t>
  </si>
  <si>
    <t>mro_time_verified</t>
  </si>
  <si>
    <t>mro_date_received</t>
  </si>
  <si>
    <t>PK (FK with DonorTestResults)</t>
  </si>
  <si>
    <t>drug_level</t>
  </si>
  <si>
    <t>donor_activity_category_id</t>
  </si>
  <si>
    <t>donor_activity_category_name</t>
  </si>
  <si>
    <t>donor_activity_note_id</t>
  </si>
  <si>
    <t>donor_activity_note_text</t>
  </si>
  <si>
    <t>is_activity_note_visible</t>
  </si>
  <si>
    <t>donor_activity_note_datetime</t>
  </si>
  <si>
    <t>donor_test_activity_id</t>
  </si>
  <si>
    <t>donor_test_activity_name</t>
  </si>
  <si>
    <t>donor_test_activity_status_id</t>
  </si>
  <si>
    <t>donor_test_activity_status_name</t>
  </si>
  <si>
    <t xml:space="preserve">There must be a list of predefined status like 
1) Notification Sent
2) Sample Collected 
3) Results delivered etc., </t>
  </si>
  <si>
    <t>FK with DonorTestActivities</t>
  </si>
  <si>
    <t>FK with DonorTestActivitiesStatus</t>
  </si>
  <si>
    <t>donor_home_phone</t>
  </si>
  <si>
    <t>donor_mobile_phone</t>
  </si>
  <si>
    <t>donor_ssn</t>
  </si>
  <si>
    <t>Values like 
General
Specific  etc.,</t>
  </si>
  <si>
    <t>document_id</t>
  </si>
  <si>
    <t>document_title</t>
  </si>
  <si>
    <t>document_upload_date</t>
  </si>
  <si>
    <t>document_upload_time</t>
  </si>
  <si>
    <t>document_source</t>
  </si>
  <si>
    <t>attorney_id</t>
  </si>
  <si>
    <t>attorney_first_name</t>
  </si>
  <si>
    <t>attorney_last_name</t>
  </si>
  <si>
    <t>Question whether this is a client?</t>
  </si>
  <si>
    <t>attorney_address_1</t>
  </si>
  <si>
    <t>attorney_address_2</t>
  </si>
  <si>
    <t>attorney_city</t>
  </si>
  <si>
    <t>attorney_state</t>
  </si>
  <si>
    <t>attorney_zip</t>
  </si>
  <si>
    <t>attorney_phone</t>
  </si>
  <si>
    <t>attorney_fax</t>
  </si>
  <si>
    <t>attorney_email</t>
  </si>
  <si>
    <t>judge_id</t>
  </si>
  <si>
    <t>judge_prefix</t>
  </si>
  <si>
    <t>judge_first_name</t>
  </si>
  <si>
    <t>judge_last_name</t>
  </si>
  <si>
    <t>judge_suffix</t>
  </si>
  <si>
    <t>judge_address_1</t>
  </si>
  <si>
    <t>judge_address_2</t>
  </si>
  <si>
    <t>judge_city</t>
  </si>
  <si>
    <t>judge_state</t>
  </si>
  <si>
    <t>judge_zip</t>
  </si>
  <si>
    <t>court_id</t>
  </si>
  <si>
    <t>court_name</t>
  </si>
  <si>
    <t>case_number</t>
  </si>
  <si>
    <t>court_address_1</t>
  </si>
  <si>
    <t>court_address_2</t>
  </si>
  <si>
    <t>court_city</t>
  </si>
  <si>
    <t>court_state</t>
  </si>
  <si>
    <t>court_zip</t>
  </si>
  <si>
    <t>payment_detail_id</t>
  </si>
  <si>
    <t>payment_detail_name</t>
  </si>
  <si>
    <t xml:space="preserve">Donor Pays
Donor Attorney Pays
Third Party Pays
Pay For Each Other
Other
</t>
  </si>
  <si>
    <t>testing_authority_id</t>
  </si>
  <si>
    <t>testing_authority_name</t>
  </si>
  <si>
    <t>HHS
NRC
DOT - FMCSA
DOT - FAA
DOT - FRA
DOT - FTA
DOT - PHMSA
DOT - USG</t>
  </si>
  <si>
    <t>donor_legal_info_id</t>
  </si>
  <si>
    <t>attorney_3_id</t>
  </si>
  <si>
    <t xml:space="preserve">Third party information 1 is the Donor Attorney Information </t>
  </si>
  <si>
    <t>donor_attorney_id</t>
  </si>
  <si>
    <t>opposing_attorney_id</t>
  </si>
  <si>
    <t xml:space="preserve">Third party information 2 is the Opposing Attorney Information </t>
  </si>
  <si>
    <t>FK with Payment details</t>
  </si>
  <si>
    <t>payment_detail_other</t>
  </si>
  <si>
    <t>Allow nulls</t>
  </si>
  <si>
    <t>result_sent_id</t>
  </si>
  <si>
    <t>result_sent_name</t>
  </si>
  <si>
    <t>Attorneys For Both
Donor Attorney Only
Judge
Court</t>
  </si>
  <si>
    <t>special_notes</t>
  </si>
  <si>
    <t>program_details_start_date</t>
  </si>
  <si>
    <t>program_details_end_date</t>
  </si>
  <si>
    <t>program_details_id</t>
  </si>
  <si>
    <t>program_details_name</t>
  </si>
  <si>
    <t>One- Time Testing
SurScan Determines Dates
Third Party Determines Dates</t>
  </si>
  <si>
    <t>FK with ProgramDetails</t>
  </si>
  <si>
    <t>FK with Testing authorities</t>
  </si>
  <si>
    <t>PK (FK with Donors Table)</t>
  </si>
  <si>
    <t>PK (FK with Donor Test Info)</t>
  </si>
  <si>
    <t>revenue_of_urinalysis</t>
  </si>
  <si>
    <t>revenue_of_hair_test</t>
  </si>
  <si>
    <t>revenue_of_dna_test</t>
  </si>
  <si>
    <t>total_revenue</t>
  </si>
  <si>
    <t>Computed column</t>
  </si>
  <si>
    <t>laboratory_cost</t>
  </si>
  <si>
    <t>mro_cost</t>
  </si>
  <si>
    <t>cup_cost</t>
  </si>
  <si>
    <t>shipping_cost</t>
  </si>
  <si>
    <t>vendor_cost</t>
  </si>
  <si>
    <t>total_cost</t>
  </si>
  <si>
    <t>gross_profit</t>
  </si>
  <si>
    <t>specimen_transport_agency_id</t>
  </si>
  <si>
    <t>specimen_transport_agency_name</t>
  </si>
  <si>
    <t>FedEx
UPS
Courier
Other</t>
  </si>
  <si>
    <t>FK with SpecimenTransportAgencies</t>
  </si>
  <si>
    <t>specimen_transport_agency_other</t>
  </si>
  <si>
    <t>lab_accessioner_first_name</t>
  </si>
  <si>
    <t>Can this be obtained from lab_id</t>
  </si>
  <si>
    <t>lab_accesioner_last_name</t>
  </si>
  <si>
    <t>is_primary_specimen_container_seal_intact</t>
  </si>
  <si>
    <t>specimen_storage_start_date</t>
  </si>
  <si>
    <t>specimen_reason_for_storage</t>
  </si>
  <si>
    <t>PK(FK with client id)</t>
  </si>
  <si>
    <t>PK (FK with  vendors)</t>
  </si>
  <si>
    <t>List of Collection Centres and Labs are assigned</t>
  </si>
  <si>
    <t>reference_1_code</t>
  </si>
  <si>
    <t>reference_2_code</t>
  </si>
  <si>
    <t>What does cumulative accounting
 test refer to?
Is it the sum total of all donors for the Client</t>
  </si>
  <si>
    <t>client_address_id</t>
  </si>
  <si>
    <t>client_physical_address_id</t>
  </si>
  <si>
    <t>client_mailing_address_id</t>
  </si>
  <si>
    <t>FK with Client Addresses</t>
  </si>
  <si>
    <t>client_address_same_as_physical</t>
  </si>
  <si>
    <t>is_client_active</t>
  </si>
  <si>
    <t>sales_representative_id</t>
  </si>
  <si>
    <t>sales_representative_first_name</t>
  </si>
  <si>
    <t>sales_representative_last_name</t>
  </si>
  <si>
    <t>sales_representative_phone</t>
  </si>
  <si>
    <t>sales_representative_fax</t>
  </si>
  <si>
    <t>sales_representative_email</t>
  </si>
  <si>
    <t>sales_representative_admin_authority</t>
  </si>
  <si>
    <t>FK with SalesRepresentatives</t>
  </si>
  <si>
    <t>sales_comissions</t>
  </si>
  <si>
    <t>PK (FK with Programs)</t>
  </si>
  <si>
    <t>PK( FK with Programs)</t>
  </si>
  <si>
    <t>PK(FK with Clients)</t>
  </si>
  <si>
    <t>program_panel_price</t>
  </si>
  <si>
    <t>PK (FK with Clients)</t>
  </si>
  <si>
    <t>Need to understand the relationship for this table</t>
  </si>
  <si>
    <t>Please note that this is the drug name</t>
  </si>
  <si>
    <t xml:space="preserve"> PK (FK With TestCategories table)</t>
  </si>
  <si>
    <t>client_code</t>
  </si>
  <si>
    <t>user_name</t>
  </si>
  <si>
    <t>is_user_active</t>
  </si>
  <si>
    <t>user_first_name</t>
  </si>
  <si>
    <t>user_last_name</t>
  </si>
  <si>
    <t>user_phone_number</t>
  </si>
  <si>
    <t>user_fax</t>
  </si>
  <si>
    <t>user_password</t>
  </si>
  <si>
    <t>user_email</t>
  </si>
  <si>
    <t>FK with Clients</t>
  </si>
  <si>
    <t>The user_id can be added as a foreign key in all Entity tables.
Donors, Clients, Vendors, MROs, Attorneys etc.,</t>
  </si>
  <si>
    <t>authorization_rule_id</t>
  </si>
  <si>
    <t>authorization_rule_name</t>
  </si>
  <si>
    <t>authorization_rule_category_id</t>
  </si>
  <si>
    <t>authorization_rule_category_name</t>
  </si>
  <si>
    <t>FK with AuthorizationRuleCategories</t>
  </si>
  <si>
    <t>Values:
Can Export Data from System
Can add Client Information …</t>
  </si>
  <si>
    <t>Search
Client Setup
Vendor Setup
Ability to add/edit users</t>
  </si>
  <si>
    <t>PK (FK with Users)</t>
  </si>
  <si>
    <t>PK (FK with  Authorization Rules)</t>
  </si>
  <si>
    <t>vendor_address_id</t>
  </si>
  <si>
    <t>vendor_physical_address_id_1</t>
  </si>
  <si>
    <t>vendor_physical_address_id_2</t>
  </si>
  <si>
    <t>FK with VendorAddresses</t>
  </si>
  <si>
    <t>vendor_physical_address_id_3</t>
  </si>
  <si>
    <t>is_vendor_active</t>
  </si>
  <si>
    <t>vendor_inactive_date</t>
  </si>
  <si>
    <t>Allow Nulls</t>
  </si>
  <si>
    <t>is_vendor_mailing_address_same_as_physical</t>
  </si>
  <si>
    <t>vendor_inactive_reason</t>
  </si>
  <si>
    <t>There is a multiple line textbox in the screen ?? 
Is it for this</t>
  </si>
  <si>
    <t>vendor_service_name</t>
  </si>
  <si>
    <t>vendor_service_id</t>
  </si>
  <si>
    <t>Examples:
UA Collection Only - Non DOT
UA Collection Only - DOT
Hair Collection Only
DNA Collection Only
Breath Alcohol Test …</t>
  </si>
  <si>
    <t>PK (FK with Vendors)</t>
  </si>
  <si>
    <t>PK (FK with VendorServices)</t>
  </si>
  <si>
    <t>service_cost</t>
  </si>
  <si>
    <t>PK (FK with DonorLegalInfo)</t>
  </si>
  <si>
    <t>PK (FK with ResultsSent)</t>
  </si>
  <si>
    <t>lab_result_id</t>
  </si>
  <si>
    <t>lab_result_name</t>
  </si>
  <si>
    <t>lab_result_status_id</t>
  </si>
  <si>
    <t>FK with LabResultStatus</t>
  </si>
  <si>
    <t>mro_result_status_id</t>
  </si>
  <si>
    <t>mro_result_status_name</t>
  </si>
  <si>
    <t>Negative
Positive
No Contact Positive</t>
  </si>
  <si>
    <t>The Completion status like
1) In Queue
2) Processing
3) Completed  against each activity also needs to be recorded</t>
  </si>
  <si>
    <t>PK (FK with Documents)</t>
  </si>
  <si>
    <t>PK (FK with Donors)</t>
  </si>
  <si>
    <t>is_document_available</t>
  </si>
  <si>
    <t>Letters of Attestation
Child Abuse Registration
FingerPrint Results …
Please refer to Page 27 of SurScan System Build Notes</t>
  </si>
  <si>
    <t>immunization_record_id</t>
  </si>
  <si>
    <t>immunization_record_name</t>
  </si>
  <si>
    <t>immunization_parent_record_id</t>
  </si>
  <si>
    <t>FK with PK of this table</t>
  </si>
  <si>
    <t>This is to establish Parent Child relationship</t>
  </si>
  <si>
    <t>immunization_date</t>
  </si>
  <si>
    <t>immunization_doctor</t>
  </si>
  <si>
    <t>immunization_done</t>
  </si>
  <si>
    <t>Yes
No
Null (If Null then date and doctor not needed)</t>
  </si>
  <si>
    <t>Sl No</t>
  </si>
  <si>
    <t>Assumption</t>
  </si>
  <si>
    <t>SurScan System Build and the GUI Design sent by David have been used as inputs</t>
  </si>
  <si>
    <t>The Registration process if decided to be an extranet application might need another database which has not been considered</t>
  </si>
  <si>
    <t>Sales Rep screen has not been provided in the Screen design document neither is there info in System build and hence we have only one field for Sales Rep commissions</t>
  </si>
  <si>
    <t>The Client types are Corporate, School and Legal. For the Individual donors they will be their clients</t>
  </si>
  <si>
    <t>The tables designed have need to have provision to input data about the amount paid up by the client , donor etc., It talks about a Quickbooks integration??</t>
  </si>
  <si>
    <t>Where do cases get assigned to Legal? Which screen does this process happen?</t>
  </si>
  <si>
    <t>MRO at the moment is not considered as a Vendor as only labs send the details to MRO? Is this right?</t>
  </si>
  <si>
    <t>Legal is a Client Type. There was a discussion about Legal being a Vendor. How does this work?</t>
  </si>
  <si>
    <t>Legal Info screen does not contain info about ParaLegal entities whereas the Surscan system build does? Which one do we need to consider?</t>
  </si>
  <si>
    <t>VARCHAR(50)</t>
  </si>
  <si>
    <t>VARCHAR(10)</t>
  </si>
  <si>
    <t>VARCHAR(11)</t>
  </si>
  <si>
    <t>DATE</t>
  </si>
  <si>
    <t>VARCHAR(15)</t>
  </si>
  <si>
    <t>VARCHAR(320)</t>
  </si>
  <si>
    <t>CHAR(1)</t>
  </si>
  <si>
    <t>M for Male and F for FEMALE</t>
  </si>
  <si>
    <t>VARCHAR(255)</t>
  </si>
  <si>
    <t>NN</t>
  </si>
  <si>
    <t>VARCHAR(100)</t>
  </si>
  <si>
    <t>donor_photo_id</t>
  </si>
  <si>
    <t>donor_photo_id_name</t>
  </si>
  <si>
    <t>This field is not mentioned in SurScan system build.
It is mentioned in the process flowchart</t>
  </si>
  <si>
    <t>FK NN</t>
  </si>
  <si>
    <t>Not sure of the size. 
Specified it as varchar as it could be aplhanumeric</t>
  </si>
  <si>
    <t>BOOLEAN</t>
  </si>
  <si>
    <t>Need clarification on field. 
Put in a field based on screenshot. Not sure of the functionality</t>
  </si>
  <si>
    <t>TIMESTAMP</t>
  </si>
  <si>
    <t>This needs to be mentioned 
only if the trasport agency is other than the listed ones.</t>
  </si>
  <si>
    <t>This is a new table and not in donor test info as there could be 
more than one collection cup for a donor</t>
  </si>
  <si>
    <t>PK (FK with  SpecimenCollectionCupTypes) NN</t>
  </si>
  <si>
    <t>This is a new table considering a donor could have more
 than one reason for test. If it is confirmed that the uuser has only one reason to get tested and it is indeed a radio button , this can be merged wit the Donors table.</t>
  </si>
  <si>
    <t>Allow Nulls
Specify only if the reason is other</t>
  </si>
  <si>
    <t>The values are 
Hair
DNA
Urianlysis.
Do we need to include Blood?</t>
  </si>
  <si>
    <t>This is a separate table as
 one user could undergo multiple tests</t>
  </si>
  <si>
    <t>VARCHAR(150)</t>
  </si>
  <si>
    <t>PK (FK with TestPanelTestNames)</t>
  </si>
  <si>
    <t>This is in a separate table as the Donor may undergo several tests</t>
  </si>
  <si>
    <t xml:space="preserve">The values are available in SurScan CRL codes. 
</t>
  </si>
  <si>
    <t xml:space="preserve">The values are available in SurScan CRL codes. 
Modelled as two tables TestNames and TestPanels to avoid entering the TestName many times
</t>
  </si>
  <si>
    <t>DATETIME</t>
  </si>
  <si>
    <t>This was mentioned in SurScan System build document.
 What would be the reason for this.</t>
  </si>
  <si>
    <t xml:space="preserve">Negative
Positive
QNS - Quantity Not Sufficient
Refused Test - Adulterated
Refused Test - Substituted
Diluted
</t>
  </si>
  <si>
    <t>FK with MROResultStatus NN</t>
  </si>
  <si>
    <t xml:space="preserve">PK </t>
  </si>
  <si>
    <t>FK wit ClientTypes NN</t>
  </si>
  <si>
    <t>FK with ClientContacts</t>
  </si>
  <si>
    <t>DECIMAL(10,2)</t>
  </si>
  <si>
    <t>This contains the school, corporate or legal code</t>
  </si>
  <si>
    <t>FK with VendorTypes NN</t>
  </si>
  <si>
    <t>vendor_mailing_address_id</t>
  </si>
  <si>
    <t>TEXT</t>
  </si>
  <si>
    <t>FK with VendorAddresses NN</t>
  </si>
  <si>
    <t>Can Allow Nulls as there may not always be 
multiple addresses for the clients</t>
  </si>
  <si>
    <t>The cost is included here as the cost would be different for each Vendor per service</t>
  </si>
  <si>
    <t>Modelled this as a separate table . Need to check if this also
 needs to be made a Vendor. If yes merge with Vendors table.</t>
  </si>
  <si>
    <t>FK with vendor_id of Vendors table for the lab NN</t>
  </si>
  <si>
    <t>Example:
C N A</t>
  </si>
  <si>
    <t>This is to have the test categories present in a program</t>
  </si>
  <si>
    <t>A program can be used by multiple Clients</t>
  </si>
  <si>
    <t>This is to have the Panels in a Program configurable</t>
  </si>
  <si>
    <t>FK with Donors NN</t>
  </si>
  <si>
    <t>FK with Courts NN</t>
  </si>
  <si>
    <t>FK with Judges NN</t>
  </si>
  <si>
    <t>FK with Attorneys NN</t>
  </si>
  <si>
    <t>payment_details_id</t>
  </si>
  <si>
    <t>FK with PaymentDetails</t>
  </si>
  <si>
    <t>Modelled as a different table as the Results Sent can have multiple options for a Single Donor</t>
  </si>
  <si>
    <t>VARCHAR(20)</t>
  </si>
  <si>
    <t>Refer to SurScan System Build for more references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</si>
</sst>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3" borderId="1" xfId="0" applyFill="1" applyBorder="1"/>
    <xf numFmtId="0" fontId="0" fillId="0" borderId="1" xfId="0" applyFon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"/>
  <sheetViews>
    <sheetView topLeftCell="B12" workbookViewId="0">
      <selection activeCell="G23" sqref="G23"/>
    </sheetView>
  </sheetViews>
  <sheetFormatPr defaultRowHeight="15" x14ac:dyDescent="0.25"/>
  <cols>
    <col min="1" max="1" width="27.7109375" style="2" bestFit="1" customWidth="1"/>
    <col min="2" max="2" width="19.42578125" style="2" customWidth="1"/>
    <col min="3" max="3" width="31.5703125" style="2" bestFit="1" customWidth="1"/>
    <col min="4" max="4" width="47.140625" style="2" bestFit="1" customWidth="1"/>
    <col min="5" max="5" width="12.140625" style="2" customWidth="1"/>
    <col min="6" max="6" width="9.140625" style="2"/>
    <col min="7" max="7" width="42.85546875" style="2" bestFit="1" customWidth="1"/>
    <col min="8" max="16384" width="9.140625" style="2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/>
      <c r="F1" s="2" t="str">
        <f ca="1">REPLACE(CELL("filename"),1,FIND("]",CELL("filename")),"")</f>
        <v>Sheet1</v>
      </c>
      <c r="G1" s="2" t="str">
        <f ca="1">"CREATE TABLE "&amp;F1&amp;" ("</f>
        <v>CREATE TABLE Sheet1 (</v>
      </c>
    </row>
    <row r="2" spans="1:7" x14ac:dyDescent="0.25">
      <c r="A2" s="2" t="s">
        <v>4</v>
      </c>
      <c r="B2" s="2" t="s">
        <v>18</v>
      </c>
      <c r="C2" s="2" t="s">
        <v>19</v>
      </c>
      <c r="G2" s="2" t="str">
        <f>A2&amp;" "&amp;B2&amp;IF(C2="PK"," PRIMARY KEY",IF(C2="NN"," NOT NULL",""))&amp;", "</f>
        <v xml:space="preserve">donor_id INT PRIMARY KEY, </v>
      </c>
    </row>
    <row r="3" spans="1:7" x14ac:dyDescent="0.25">
      <c r="A3" s="2" t="s">
        <v>5</v>
      </c>
      <c r="B3" s="2" t="s">
        <v>366</v>
      </c>
      <c r="C3" s="2" t="s">
        <v>375</v>
      </c>
      <c r="G3" s="2" t="str">
        <f t="shared" ref="G3:G22" si="0">A3&amp;" "&amp;B3&amp;IF(C3="PK"," PRIMARY KEY",IF(C3="NN"," NOT NULL",""))&amp;", "</f>
        <v xml:space="preserve">donor_first_name VARCHAR(50) NOT NULL, </v>
      </c>
    </row>
    <row r="4" spans="1:7" x14ac:dyDescent="0.25">
      <c r="A4" s="2" t="s">
        <v>6</v>
      </c>
      <c r="B4" s="2" t="s">
        <v>366</v>
      </c>
      <c r="C4" s="2" t="s">
        <v>375</v>
      </c>
      <c r="G4" s="2" t="str">
        <f t="shared" si="0"/>
        <v xml:space="preserve">donor_last_name VARCHAR(50) NOT NULL, </v>
      </c>
    </row>
    <row r="5" spans="1:7" x14ac:dyDescent="0.25">
      <c r="A5" s="2" t="s">
        <v>7</v>
      </c>
      <c r="B5" s="2" t="s">
        <v>367</v>
      </c>
      <c r="G5" s="2" t="str">
        <f t="shared" si="0"/>
        <v xml:space="preserve">donor_suffix VARCHAR(10), </v>
      </c>
    </row>
    <row r="6" spans="1:7" x14ac:dyDescent="0.25">
      <c r="A6" s="2" t="s">
        <v>178</v>
      </c>
      <c r="B6" s="2" t="s">
        <v>368</v>
      </c>
      <c r="C6" s="2" t="s">
        <v>375</v>
      </c>
      <c r="G6" s="2" t="str">
        <f t="shared" si="0"/>
        <v xml:space="preserve">donor_ssn VARCHAR(11) NOT NULL, </v>
      </c>
    </row>
    <row r="7" spans="1:7" x14ac:dyDescent="0.25">
      <c r="A7" s="2" t="s">
        <v>8</v>
      </c>
      <c r="B7" s="2" t="s">
        <v>369</v>
      </c>
      <c r="C7" s="2" t="s">
        <v>375</v>
      </c>
      <c r="G7" s="2" t="str">
        <f t="shared" si="0"/>
        <v xml:space="preserve">donor_date_of_birth DATE NOT NULL, </v>
      </c>
    </row>
    <row r="8" spans="1:7" x14ac:dyDescent="0.25">
      <c r="A8" s="2" t="s">
        <v>176</v>
      </c>
      <c r="B8" s="2" t="s">
        <v>370</v>
      </c>
      <c r="C8" s="2" t="s">
        <v>375</v>
      </c>
      <c r="G8" s="2" t="str">
        <f t="shared" si="0"/>
        <v xml:space="preserve">donor_home_phone VARCHAR(15) NOT NULL, </v>
      </c>
    </row>
    <row r="9" spans="1:7" x14ac:dyDescent="0.25">
      <c r="A9" s="2" t="s">
        <v>177</v>
      </c>
      <c r="B9" s="2" t="s">
        <v>370</v>
      </c>
      <c r="G9" s="2" t="str">
        <f t="shared" si="0"/>
        <v xml:space="preserve">donor_mobile_phone VARCHAR(15), </v>
      </c>
    </row>
    <row r="10" spans="1:7" x14ac:dyDescent="0.25">
      <c r="A10" s="2" t="s">
        <v>9</v>
      </c>
      <c r="B10" s="2" t="s">
        <v>374</v>
      </c>
      <c r="C10" s="2" t="s">
        <v>375</v>
      </c>
      <c r="G10" s="2" t="str">
        <f t="shared" si="0"/>
        <v xml:space="preserve">donor_address_1 VARCHAR(255) NOT NULL, </v>
      </c>
    </row>
    <row r="11" spans="1:7" x14ac:dyDescent="0.25">
      <c r="A11" s="2" t="s">
        <v>10</v>
      </c>
      <c r="B11" s="2" t="s">
        <v>374</v>
      </c>
      <c r="G11" s="2" t="str">
        <f t="shared" si="0"/>
        <v xml:space="preserve">donor_address_2 VARCHAR(255), </v>
      </c>
    </row>
    <row r="12" spans="1:7" x14ac:dyDescent="0.25">
      <c r="A12" s="2" t="s">
        <v>11</v>
      </c>
      <c r="B12" s="2" t="s">
        <v>374</v>
      </c>
      <c r="C12" s="2" t="s">
        <v>375</v>
      </c>
      <c r="G12" s="2" t="str">
        <f t="shared" si="0"/>
        <v xml:space="preserve">donor_city VARCHAR(255) NOT NULL, </v>
      </c>
    </row>
    <row r="13" spans="1:7" x14ac:dyDescent="0.25">
      <c r="A13" s="2" t="s">
        <v>12</v>
      </c>
      <c r="B13" s="2" t="s">
        <v>376</v>
      </c>
      <c r="C13" s="2" t="s">
        <v>375</v>
      </c>
      <c r="G13" s="2" t="str">
        <f t="shared" si="0"/>
        <v xml:space="preserve">donor_state VARCHAR(100) NOT NULL, </v>
      </c>
    </row>
    <row r="14" spans="1:7" x14ac:dyDescent="0.25">
      <c r="A14" s="2" t="s">
        <v>13</v>
      </c>
      <c r="B14" s="2" t="s">
        <v>367</v>
      </c>
      <c r="C14" s="2" t="s">
        <v>375</v>
      </c>
      <c r="G14" s="2" t="str">
        <f t="shared" si="0"/>
        <v xml:space="preserve">donor_zip VARCHAR(10) NOT NULL, </v>
      </c>
    </row>
    <row r="15" spans="1:7" x14ac:dyDescent="0.25">
      <c r="A15" s="2" t="s">
        <v>14</v>
      </c>
      <c r="B15" s="2" t="s">
        <v>371</v>
      </c>
      <c r="G15" s="2" t="str">
        <f t="shared" si="0"/>
        <v xml:space="preserve">donor_email VARCHAR(320), </v>
      </c>
    </row>
    <row r="16" spans="1:7" x14ac:dyDescent="0.25">
      <c r="A16" s="2" t="s">
        <v>130</v>
      </c>
      <c r="B16" s="2" t="s">
        <v>372</v>
      </c>
      <c r="C16" s="2" t="s">
        <v>375</v>
      </c>
      <c r="D16" s="2" t="s">
        <v>373</v>
      </c>
      <c r="G16" s="2" t="str">
        <f t="shared" si="0"/>
        <v xml:space="preserve">donor_gender CHAR(1) NOT NULL, </v>
      </c>
    </row>
    <row r="17" spans="1:7" x14ac:dyDescent="0.25">
      <c r="A17" s="2" t="s">
        <v>53</v>
      </c>
      <c r="B17" s="2" t="s">
        <v>18</v>
      </c>
      <c r="C17" s="2" t="s">
        <v>128</v>
      </c>
      <c r="G17" s="2" t="str">
        <f t="shared" si="0"/>
        <v xml:space="preserve">client_id INT, </v>
      </c>
    </row>
    <row r="18" spans="1:7" x14ac:dyDescent="0.25">
      <c r="A18" s="2" t="s">
        <v>129</v>
      </c>
      <c r="B18" s="2" t="s">
        <v>18</v>
      </c>
      <c r="C18" s="2" t="s">
        <v>131</v>
      </c>
      <c r="G18" s="2" t="str">
        <f t="shared" si="0"/>
        <v xml:space="preserve">program_id INT, </v>
      </c>
    </row>
    <row r="19" spans="1:7" x14ac:dyDescent="0.25">
      <c r="A19" s="2" t="s">
        <v>169</v>
      </c>
      <c r="B19" s="2" t="s">
        <v>18</v>
      </c>
      <c r="C19" s="2" t="s">
        <v>174</v>
      </c>
      <c r="G19" s="2" t="str">
        <f t="shared" si="0"/>
        <v xml:space="preserve">donor_test_activity_id INT, </v>
      </c>
    </row>
    <row r="20" spans="1:7" x14ac:dyDescent="0.25">
      <c r="A20" s="2" t="s">
        <v>171</v>
      </c>
      <c r="B20" s="2" t="s">
        <v>18</v>
      </c>
      <c r="C20" s="2" t="s">
        <v>175</v>
      </c>
      <c r="G20" s="2" t="str">
        <f t="shared" si="0"/>
        <v xml:space="preserve">donor_test_activity_status_id INT, </v>
      </c>
    </row>
    <row r="21" spans="1:7" s="5" customFormat="1" ht="45" x14ac:dyDescent="0.25">
      <c r="A21" s="5" t="s">
        <v>377</v>
      </c>
      <c r="B21" s="5" t="s">
        <v>376</v>
      </c>
      <c r="D21" s="6" t="s">
        <v>379</v>
      </c>
      <c r="E21" s="6"/>
      <c r="G21" s="2" t="str">
        <f t="shared" si="0"/>
        <v xml:space="preserve">donor_photo_id VARCHAR(100), </v>
      </c>
    </row>
    <row r="22" spans="1:7" s="5" customFormat="1" ht="45" x14ac:dyDescent="0.25">
      <c r="A22" s="5" t="s">
        <v>378</v>
      </c>
      <c r="B22" s="5" t="s">
        <v>376</v>
      </c>
      <c r="D22" s="6" t="s">
        <v>379</v>
      </c>
      <c r="E22" s="6"/>
      <c r="G22" s="2" t="str">
        <f t="shared" si="0"/>
        <v xml:space="preserve">donor_photo_id_name VARCHAR(100), </v>
      </c>
    </row>
    <row r="23" spans="1:7" x14ac:dyDescent="0.25">
      <c r="G23" s="2" t="str">
        <f>"); "</f>
        <v xml:space="preserve">); 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"/>
  <sheetViews>
    <sheetView workbookViewId="0"/>
  </sheetViews>
  <sheetFormatPr defaultRowHeight="15" x14ac:dyDescent="0.25"/>
  <cols>
    <col min="1" max="1" width="24.5703125" style="2" bestFit="1" customWidth="1"/>
    <col min="2" max="2" width="14.140625" style="2" bestFit="1" customWidth="1"/>
    <col min="3" max="3" width="17.140625" style="2" customWidth="1"/>
    <col min="4" max="5" width="17" style="2" customWidth="1"/>
    <col min="6" max="6" width="18.7109375" style="2" bestFit="1" customWidth="1"/>
    <col min="7" max="7" width="49" style="2" bestFit="1" customWidth="1"/>
    <col min="8" max="16384" width="9.140625" style="2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/>
      <c r="F1" s="2" t="str">
        <f ca="1">REPLACE(CELL("filename"),1,FIND("]",CELL("filename")),"")</f>
        <v>Sheet1</v>
      </c>
      <c r="G1" s="2" t="str">
        <f ca="1">"CREATE TABLE "&amp;F1&amp;" ("</f>
        <v>CREATE TABLE Sheet1 (</v>
      </c>
    </row>
    <row r="2" spans="1:7" ht="135" x14ac:dyDescent="0.25">
      <c r="A2" s="2" t="s">
        <v>169</v>
      </c>
      <c r="B2" s="2" t="s">
        <v>18</v>
      </c>
      <c r="C2" s="2" t="s">
        <v>19</v>
      </c>
      <c r="D2" s="3" t="s">
        <v>173</v>
      </c>
      <c r="E2" s="3"/>
      <c r="G2" s="2" t="str">
        <f>A2&amp;" "&amp;B2&amp;IF(C2="PK"," PRIMARY KEY",IF(C2="NN"," NOT NULL",""))&amp;", "</f>
        <v xml:space="preserve">donor_test_activity_id INT PRIMARY KEY, </v>
      </c>
    </row>
    <row r="3" spans="1:7" x14ac:dyDescent="0.25">
      <c r="A3" s="2" t="s">
        <v>170</v>
      </c>
      <c r="B3" s="2" t="s">
        <v>374</v>
      </c>
      <c r="C3" s="2" t="s">
        <v>375</v>
      </c>
      <c r="G3" s="2" t="str">
        <f>A3&amp;" "&amp;B3&amp;IF(C3="PK"," PRIMARY KEY",IF(C3="NN"," NOT NULL",""))&amp;", "</f>
        <v xml:space="preserve">donor_test_activity_name VARCHAR(255) NOT NULL, </v>
      </c>
    </row>
    <row r="4" spans="1:7" x14ac:dyDescent="0.25">
      <c r="G4" s="2" t="str">
        <f>"); "</f>
        <v xml:space="preserve">);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C3" sqref="C3"/>
    </sheetView>
  </sheetViews>
  <sheetFormatPr defaultRowHeight="15" x14ac:dyDescent="0.25"/>
  <cols>
    <col min="1" max="1" width="31.140625" style="2" bestFit="1" customWidth="1"/>
    <col min="2" max="2" width="14.140625" style="2" bestFit="1" customWidth="1"/>
    <col min="3" max="3" width="24.28515625" style="2" customWidth="1"/>
    <col min="4" max="4" width="29.8554687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35" customHeight="1" x14ac:dyDescent="0.25">
      <c r="A2" s="2" t="s">
        <v>171</v>
      </c>
      <c r="B2" s="2" t="s">
        <v>18</v>
      </c>
      <c r="C2" s="2" t="s">
        <v>19</v>
      </c>
      <c r="D2" s="3" t="s">
        <v>341</v>
      </c>
    </row>
    <row r="3" spans="1:4" x14ac:dyDescent="0.25">
      <c r="A3" s="2" t="s">
        <v>172</v>
      </c>
      <c r="B3" s="2" t="s">
        <v>366</v>
      </c>
      <c r="C3" s="2" t="s">
        <v>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"/>
  <sheetViews>
    <sheetView workbookViewId="0">
      <selection activeCell="D12" sqref="D12"/>
    </sheetView>
  </sheetViews>
  <sheetFormatPr defaultRowHeight="15" x14ac:dyDescent="0.25"/>
  <cols>
    <col min="1" max="1" width="32.42578125" style="2" bestFit="1" customWidth="1"/>
    <col min="2" max="3" width="34" style="2" bestFit="1" customWidth="1"/>
    <col min="4" max="4" width="28.4257812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102</v>
      </c>
      <c r="B2" s="2" t="s">
        <v>18</v>
      </c>
      <c r="C2" s="2" t="s">
        <v>19</v>
      </c>
    </row>
    <row r="3" spans="1:4" x14ac:dyDescent="0.25">
      <c r="A3" s="2" t="s">
        <v>4</v>
      </c>
      <c r="B3" s="2" t="s">
        <v>18</v>
      </c>
      <c r="C3" s="2" t="s">
        <v>380</v>
      </c>
    </row>
    <row r="4" spans="1:4" s="5" customFormat="1" ht="45" x14ac:dyDescent="0.25">
      <c r="A4" s="5" t="s">
        <v>103</v>
      </c>
      <c r="B4" s="5" t="s">
        <v>376</v>
      </c>
      <c r="C4" s="5" t="s">
        <v>375</v>
      </c>
      <c r="D4" s="6" t="s">
        <v>381</v>
      </c>
    </row>
    <row r="5" spans="1:4" x14ac:dyDescent="0.25">
      <c r="A5" s="2" t="s">
        <v>104</v>
      </c>
      <c r="B5" s="2" t="s">
        <v>382</v>
      </c>
      <c r="C5" s="2" t="s">
        <v>375</v>
      </c>
    </row>
    <row r="6" spans="1:4" x14ac:dyDescent="0.25">
      <c r="A6" s="2" t="s">
        <v>111</v>
      </c>
      <c r="B6" s="2" t="s">
        <v>18</v>
      </c>
      <c r="C6" s="2" t="s">
        <v>375</v>
      </c>
    </row>
    <row r="7" spans="1:4" s="5" customFormat="1" ht="60" x14ac:dyDescent="0.25">
      <c r="A7" s="5" t="s">
        <v>112</v>
      </c>
      <c r="B7" s="5" t="s">
        <v>382</v>
      </c>
      <c r="C7" s="5" t="s">
        <v>375</v>
      </c>
      <c r="D7" s="6" t="s">
        <v>383</v>
      </c>
    </row>
    <row r="8" spans="1:4" x14ac:dyDescent="0.25">
      <c r="A8" s="2" t="s">
        <v>113</v>
      </c>
      <c r="B8" s="2" t="s">
        <v>382</v>
      </c>
      <c r="C8" s="2" t="s">
        <v>375</v>
      </c>
    </row>
    <row r="9" spans="1:4" x14ac:dyDescent="0.25">
      <c r="A9" s="2" t="s">
        <v>124</v>
      </c>
      <c r="B9" s="2" t="s">
        <v>369</v>
      </c>
      <c r="C9" s="2" t="s">
        <v>375</v>
      </c>
    </row>
    <row r="10" spans="1:4" x14ac:dyDescent="0.25">
      <c r="A10" s="2" t="s">
        <v>125</v>
      </c>
      <c r="B10" s="2" t="s">
        <v>384</v>
      </c>
      <c r="C10" s="2" t="s">
        <v>375</v>
      </c>
    </row>
    <row r="11" spans="1:4" ht="30" x14ac:dyDescent="0.25">
      <c r="A11" s="2" t="s">
        <v>126</v>
      </c>
      <c r="B11" s="2" t="s">
        <v>18</v>
      </c>
      <c r="C11" s="3" t="s">
        <v>127</v>
      </c>
    </row>
    <row r="12" spans="1:4" x14ac:dyDescent="0.25">
      <c r="A12" s="2" t="s">
        <v>218</v>
      </c>
      <c r="B12" s="2" t="s">
        <v>18</v>
      </c>
      <c r="C12" s="2" t="s">
        <v>240</v>
      </c>
      <c r="D12" s="2" t="s">
        <v>229</v>
      </c>
    </row>
    <row r="13" spans="1:4" ht="30" x14ac:dyDescent="0.25">
      <c r="A13" s="2" t="s">
        <v>148</v>
      </c>
      <c r="B13" s="2" t="s">
        <v>18</v>
      </c>
      <c r="C13" s="3" t="s">
        <v>127</v>
      </c>
    </row>
    <row r="14" spans="1:4" x14ac:dyDescent="0.25">
      <c r="A14" s="2" t="s">
        <v>255</v>
      </c>
      <c r="B14" s="2" t="s">
        <v>18</v>
      </c>
      <c r="C14" s="2" t="s">
        <v>258</v>
      </c>
    </row>
    <row r="15" spans="1:4" ht="45" x14ac:dyDescent="0.25">
      <c r="A15" s="2" t="s">
        <v>259</v>
      </c>
      <c r="B15" s="2" t="s">
        <v>376</v>
      </c>
      <c r="C15" s="2" t="s">
        <v>229</v>
      </c>
      <c r="D15" s="3" t="s">
        <v>385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"/>
  <sheetViews>
    <sheetView workbookViewId="0">
      <selection activeCell="A3" sqref="A3"/>
    </sheetView>
  </sheetViews>
  <sheetFormatPr defaultRowHeight="15" x14ac:dyDescent="0.25"/>
  <cols>
    <col min="1" max="1" width="32.7109375" style="2" customWidth="1"/>
    <col min="2" max="2" width="16.5703125" style="2" customWidth="1"/>
    <col min="3" max="3" width="20.140625" style="2" customWidth="1"/>
    <col min="4" max="4" width="18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60" x14ac:dyDescent="0.25">
      <c r="A2" s="2" t="s">
        <v>255</v>
      </c>
      <c r="B2" s="2" t="s">
        <v>18</v>
      </c>
      <c r="C2" s="2" t="s">
        <v>19</v>
      </c>
      <c r="D2" s="3" t="s">
        <v>257</v>
      </c>
    </row>
    <row r="3" spans="1:4" x14ac:dyDescent="0.25">
      <c r="A3" s="2" t="s">
        <v>256</v>
      </c>
      <c r="B3" s="2" t="s">
        <v>376</v>
      </c>
      <c r="C3" s="2" t="s">
        <v>375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3"/>
  <sheetViews>
    <sheetView workbookViewId="0">
      <selection activeCell="C3" sqref="C3"/>
    </sheetView>
  </sheetViews>
  <sheetFormatPr defaultRowHeight="15" x14ac:dyDescent="0.25"/>
  <cols>
    <col min="1" max="1" width="39.42578125" style="2" customWidth="1"/>
    <col min="2" max="2" width="21.7109375" style="2" customWidth="1"/>
    <col min="3" max="3" width="19.7109375" style="2" customWidth="1"/>
    <col min="4" max="4" width="25.425781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50" x14ac:dyDescent="0.25">
      <c r="A2" s="2" t="s">
        <v>105</v>
      </c>
      <c r="B2" s="2" t="s">
        <v>18</v>
      </c>
      <c r="C2" s="2" t="s">
        <v>19</v>
      </c>
      <c r="D2" s="3" t="s">
        <v>107</v>
      </c>
    </row>
    <row r="3" spans="1:4" x14ac:dyDescent="0.25">
      <c r="A3" s="2" t="s">
        <v>106</v>
      </c>
      <c r="B3" s="2" t="s">
        <v>376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C4" sqref="C4"/>
    </sheetView>
  </sheetViews>
  <sheetFormatPr defaultRowHeight="15" x14ac:dyDescent="0.25"/>
  <cols>
    <col min="1" max="1" width="40.28515625" style="2" customWidth="1"/>
    <col min="2" max="2" width="18.28515625" style="2" customWidth="1"/>
    <col min="3" max="3" width="43.28515625" style="2" bestFit="1" customWidth="1"/>
    <col min="4" max="4" width="60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30" x14ac:dyDescent="0.25">
      <c r="A2" s="2" t="s">
        <v>102</v>
      </c>
      <c r="B2" s="2" t="s">
        <v>18</v>
      </c>
      <c r="C2" s="2" t="s">
        <v>144</v>
      </c>
      <c r="D2" s="3" t="s">
        <v>386</v>
      </c>
    </row>
    <row r="3" spans="1:4" x14ac:dyDescent="0.25">
      <c r="A3" s="2" t="s">
        <v>105</v>
      </c>
      <c r="B3" s="2" t="s">
        <v>18</v>
      </c>
      <c r="C3" s="2" t="s">
        <v>387</v>
      </c>
    </row>
    <row r="4" spans="1:4" x14ac:dyDescent="0.25">
      <c r="A4" s="2" t="s">
        <v>109</v>
      </c>
      <c r="B4" s="2" t="s">
        <v>376</v>
      </c>
      <c r="C4" s="2" t="s">
        <v>110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"/>
  <sheetViews>
    <sheetView workbookViewId="0">
      <selection activeCell="B1" sqref="B1"/>
    </sheetView>
  </sheetViews>
  <sheetFormatPr defaultRowHeight="15" x14ac:dyDescent="0.25"/>
  <cols>
    <col min="1" max="1" width="21.42578125" style="2" customWidth="1"/>
    <col min="2" max="2" width="23.140625" style="2" customWidth="1"/>
    <col min="3" max="3" width="12" style="2" customWidth="1"/>
    <col min="4" max="4" width="19.710937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20" x14ac:dyDescent="0.25">
      <c r="A2" s="2" t="s">
        <v>16</v>
      </c>
      <c r="B2" s="2" t="s">
        <v>18</v>
      </c>
      <c r="C2" s="2" t="s">
        <v>19</v>
      </c>
      <c r="D2" s="3" t="s">
        <v>20</v>
      </c>
    </row>
    <row r="3" spans="1:4" x14ac:dyDescent="0.25">
      <c r="A3" s="2" t="s">
        <v>17</v>
      </c>
      <c r="B3" s="2" t="s">
        <v>376</v>
      </c>
      <c r="C3" s="2" t="s">
        <v>375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"/>
  <sheetViews>
    <sheetView workbookViewId="0">
      <selection activeCell="D4" sqref="D4"/>
    </sheetView>
  </sheetViews>
  <sheetFormatPr defaultRowHeight="15" x14ac:dyDescent="0.25"/>
  <cols>
    <col min="1" max="1" width="27.42578125" style="2" bestFit="1" customWidth="1"/>
    <col min="2" max="2" width="19.7109375" style="2" customWidth="1"/>
    <col min="3" max="3" width="17.5703125" style="2" customWidth="1"/>
    <col min="4" max="4" width="56.285156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60" x14ac:dyDescent="0.25">
      <c r="A2" s="2" t="s">
        <v>4</v>
      </c>
      <c r="B2" s="2" t="s">
        <v>18</v>
      </c>
      <c r="C2" s="2" t="s">
        <v>19</v>
      </c>
      <c r="D2" s="3" t="s">
        <v>388</v>
      </c>
    </row>
    <row r="3" spans="1:4" x14ac:dyDescent="0.25">
      <c r="A3" s="2" t="s">
        <v>16</v>
      </c>
      <c r="B3" s="2" t="s">
        <v>18</v>
      </c>
      <c r="C3" s="2" t="s">
        <v>19</v>
      </c>
    </row>
    <row r="4" spans="1:4" ht="30" x14ac:dyDescent="0.25">
      <c r="A4" s="2" t="s">
        <v>108</v>
      </c>
      <c r="B4" s="2" t="s">
        <v>376</v>
      </c>
      <c r="D4" s="3" t="s">
        <v>389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3"/>
  <sheetViews>
    <sheetView workbookViewId="0">
      <selection activeCell="A2" sqref="A2:C3"/>
    </sheetView>
  </sheetViews>
  <sheetFormatPr defaultRowHeight="15" x14ac:dyDescent="0.25"/>
  <cols>
    <col min="1" max="1" width="21.140625" style="2" customWidth="1"/>
    <col min="2" max="2" width="16.5703125" style="2" customWidth="1"/>
    <col min="3" max="3" width="17.5703125" style="2" customWidth="1"/>
    <col min="4" max="4" width="14.710937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90" x14ac:dyDescent="0.25">
      <c r="A2" s="2" t="s">
        <v>21</v>
      </c>
      <c r="B2" s="2" t="s">
        <v>18</v>
      </c>
      <c r="C2" s="2" t="s">
        <v>19</v>
      </c>
      <c r="D2" s="6" t="s">
        <v>390</v>
      </c>
    </row>
    <row r="3" spans="1:4" x14ac:dyDescent="0.25">
      <c r="A3" s="2" t="s">
        <v>22</v>
      </c>
      <c r="B3" s="2" t="s">
        <v>366</v>
      </c>
      <c r="C3" s="2" t="s">
        <v>375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0"/>
  <sheetViews>
    <sheetView workbookViewId="0"/>
  </sheetViews>
  <sheetFormatPr defaultRowHeight="15" x14ac:dyDescent="0.25"/>
  <cols>
    <col min="1" max="1" width="17.5703125" style="2" customWidth="1"/>
    <col min="2" max="2" width="19.85546875" style="2" customWidth="1"/>
    <col min="3" max="3" width="31.7109375" style="2" bestFit="1" customWidth="1"/>
    <col min="4" max="4" width="35.42578125" style="2" customWidth="1"/>
    <col min="5" max="5" width="15.140625" style="2" customWidth="1"/>
    <col min="6" max="6" width="30.7109375" style="2" bestFit="1" customWidth="1"/>
    <col min="7" max="16384" width="9.140625" style="2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6" x14ac:dyDescent="0.25">
      <c r="A2" s="2" t="s">
        <v>23</v>
      </c>
      <c r="B2" s="2" t="s">
        <v>18</v>
      </c>
      <c r="C2" s="2" t="s">
        <v>19</v>
      </c>
      <c r="D2" s="2" t="s">
        <v>30</v>
      </c>
      <c r="E2" s="1" t="s">
        <v>39</v>
      </c>
    </row>
    <row r="3" spans="1:6" x14ac:dyDescent="0.25">
      <c r="A3" s="2" t="s">
        <v>24</v>
      </c>
      <c r="B3" s="2" t="s">
        <v>376</v>
      </c>
      <c r="C3" s="2" t="s">
        <v>375</v>
      </c>
      <c r="F3" s="2" t="s">
        <v>31</v>
      </c>
    </row>
    <row r="4" spans="1:6" x14ac:dyDescent="0.25">
      <c r="A4" s="2" t="s">
        <v>21</v>
      </c>
      <c r="B4" s="2" t="s">
        <v>18</v>
      </c>
      <c r="C4" s="2" t="s">
        <v>294</v>
      </c>
      <c r="F4" s="2" t="s">
        <v>34</v>
      </c>
    </row>
    <row r="5" spans="1:6" x14ac:dyDescent="0.25">
      <c r="F5" s="2" t="s">
        <v>35</v>
      </c>
    </row>
    <row r="6" spans="1:6" x14ac:dyDescent="0.25">
      <c r="F6" s="2" t="s">
        <v>36</v>
      </c>
    </row>
    <row r="7" spans="1:6" x14ac:dyDescent="0.25">
      <c r="F7" s="2" t="s">
        <v>37</v>
      </c>
    </row>
    <row r="8" spans="1:6" x14ac:dyDescent="0.25">
      <c r="F8" s="2" t="s">
        <v>38</v>
      </c>
    </row>
    <row r="9" spans="1:6" x14ac:dyDescent="0.25">
      <c r="E9" s="1" t="s">
        <v>40</v>
      </c>
    </row>
    <row r="11" spans="1:6" x14ac:dyDescent="0.25">
      <c r="E11" s="1" t="s">
        <v>41</v>
      </c>
    </row>
    <row r="12" spans="1:6" x14ac:dyDescent="0.25">
      <c r="F12" s="2" t="s">
        <v>44</v>
      </c>
    </row>
    <row r="13" spans="1:6" x14ac:dyDescent="0.25">
      <c r="F13" s="2" t="s">
        <v>42</v>
      </c>
    </row>
    <row r="14" spans="1:6" x14ac:dyDescent="0.25">
      <c r="F14" s="2" t="s">
        <v>45</v>
      </c>
    </row>
    <row r="15" spans="1:6" x14ac:dyDescent="0.25">
      <c r="F15" s="2" t="s">
        <v>46</v>
      </c>
    </row>
    <row r="16" spans="1:6" x14ac:dyDescent="0.25">
      <c r="F16" s="2" t="s">
        <v>47</v>
      </c>
    </row>
    <row r="17" spans="6:6" x14ac:dyDescent="0.25">
      <c r="F17" s="2" t="s">
        <v>48</v>
      </c>
    </row>
    <row r="18" spans="6:6" x14ac:dyDescent="0.25">
      <c r="F18" s="2" t="s">
        <v>43</v>
      </c>
    </row>
    <row r="19" spans="6:6" x14ac:dyDescent="0.25">
      <c r="F19" s="2" t="s">
        <v>32</v>
      </c>
    </row>
    <row r="20" spans="6:6" x14ac:dyDescent="0.25">
      <c r="F20" s="2" t="s">
        <v>33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4"/>
  <sheetViews>
    <sheetView workbookViewId="0">
      <selection activeCell="D7" sqref="D4:D7"/>
    </sheetView>
  </sheetViews>
  <sheetFormatPr defaultRowHeight="15" x14ac:dyDescent="0.25"/>
  <cols>
    <col min="1" max="1" width="18.28515625" style="2" bestFit="1" customWidth="1"/>
    <col min="2" max="2" width="16.42578125" style="2" customWidth="1"/>
    <col min="3" max="3" width="25.28515625" style="2" customWidth="1"/>
    <col min="4" max="4" width="23.285156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60" x14ac:dyDescent="0.25">
      <c r="A2" s="2" t="s">
        <v>102</v>
      </c>
      <c r="B2" s="2" t="s">
        <v>18</v>
      </c>
      <c r="C2" s="2" t="s">
        <v>144</v>
      </c>
      <c r="D2" s="3" t="s">
        <v>391</v>
      </c>
    </row>
    <row r="3" spans="1:4" x14ac:dyDescent="0.25">
      <c r="A3" s="2" t="s">
        <v>23</v>
      </c>
      <c r="B3" s="2" t="s">
        <v>18</v>
      </c>
      <c r="C3" s="2" t="s">
        <v>19</v>
      </c>
    </row>
    <row r="4" spans="1:4" x14ac:dyDescent="0.25">
      <c r="A4" s="2" t="s">
        <v>21</v>
      </c>
      <c r="B4" s="2" t="s">
        <v>18</v>
      </c>
      <c r="C4" s="2" t="s">
        <v>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5"/>
  <sheetViews>
    <sheetView workbookViewId="0">
      <selection activeCell="A4" sqref="A4:A5"/>
    </sheetView>
  </sheetViews>
  <sheetFormatPr defaultRowHeight="15" x14ac:dyDescent="0.25"/>
  <cols>
    <col min="1" max="1" width="17.7109375" style="2" customWidth="1"/>
    <col min="2" max="2" width="21.140625" style="2" customWidth="1"/>
    <col min="3" max="3" width="18" style="2" customWidth="1"/>
    <col min="4" max="4" width="42.8554687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30" x14ac:dyDescent="0.25">
      <c r="A2" s="2" t="s">
        <v>51</v>
      </c>
      <c r="B2" s="2" t="s">
        <v>18</v>
      </c>
      <c r="C2" s="2" t="s">
        <v>19</v>
      </c>
      <c r="D2" s="3" t="s">
        <v>395</v>
      </c>
    </row>
    <row r="3" spans="1:4" x14ac:dyDescent="0.25">
      <c r="A3" s="2" t="s">
        <v>27</v>
      </c>
      <c r="B3" s="2" t="s">
        <v>392</v>
      </c>
      <c r="C3" s="2" t="s">
        <v>375</v>
      </c>
      <c r="D3" s="2" t="s">
        <v>293</v>
      </c>
    </row>
    <row r="4" spans="1:4" x14ac:dyDescent="0.25">
      <c r="A4" s="2" t="s">
        <v>28</v>
      </c>
      <c r="B4" s="2" t="s">
        <v>367</v>
      </c>
      <c r="C4" s="2" t="s">
        <v>375</v>
      </c>
    </row>
    <row r="5" spans="1:4" x14ac:dyDescent="0.25">
      <c r="A5" s="2" t="s">
        <v>29</v>
      </c>
      <c r="B5" s="2" t="s">
        <v>367</v>
      </c>
      <c r="C5" s="2" t="s">
        <v>375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"/>
  <sheetViews>
    <sheetView tabSelected="1" workbookViewId="0">
      <selection activeCell="A2" sqref="A2"/>
    </sheetView>
  </sheetViews>
  <sheetFormatPr defaultRowHeight="15" x14ac:dyDescent="0.25"/>
  <cols>
    <col min="1" max="1" width="22.7109375" style="2" customWidth="1"/>
    <col min="2" max="2" width="24" style="2" customWidth="1"/>
    <col min="3" max="3" width="20.7109375" style="2" customWidth="1"/>
    <col min="4" max="4" width="24.285156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20" x14ac:dyDescent="0.25">
      <c r="A2" s="2" t="s">
        <v>49</v>
      </c>
      <c r="B2" s="2" t="s">
        <v>18</v>
      </c>
      <c r="C2" s="2" t="s">
        <v>19</v>
      </c>
      <c r="D2" s="3" t="s">
        <v>396</v>
      </c>
    </row>
    <row r="3" spans="1:4" x14ac:dyDescent="0.25">
      <c r="A3" s="2" t="s">
        <v>50</v>
      </c>
      <c r="B3" s="2" t="s">
        <v>366</v>
      </c>
      <c r="C3" s="2" t="s">
        <v>375</v>
      </c>
    </row>
    <row r="4" spans="1:4" x14ac:dyDescent="0.25">
      <c r="C4" s="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3"/>
  <sheetViews>
    <sheetView workbookViewId="0">
      <selection activeCell="B4" sqref="B4"/>
    </sheetView>
  </sheetViews>
  <sheetFormatPr defaultRowHeight="15" x14ac:dyDescent="0.25"/>
  <cols>
    <col min="1" max="1" width="18.42578125" style="2" customWidth="1"/>
    <col min="2" max="2" width="24" style="2" customWidth="1"/>
    <col min="3" max="3" width="22.42578125" style="2" bestFit="1" customWidth="1"/>
    <col min="4" max="4" width="28.57031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49</v>
      </c>
      <c r="B2" s="2" t="s">
        <v>18</v>
      </c>
      <c r="C2" s="2" t="s">
        <v>136</v>
      </c>
    </row>
    <row r="3" spans="1:4" x14ac:dyDescent="0.25">
      <c r="A3" s="2" t="s">
        <v>51</v>
      </c>
      <c r="B3" s="2" t="s">
        <v>18</v>
      </c>
      <c r="C3" s="2" t="s">
        <v>52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4"/>
  <sheetViews>
    <sheetView workbookViewId="0">
      <selection activeCell="B5" sqref="B5"/>
    </sheetView>
  </sheetViews>
  <sheetFormatPr defaultRowHeight="15" x14ac:dyDescent="0.25"/>
  <cols>
    <col min="1" max="1" width="19.7109375" style="2" customWidth="1"/>
    <col min="2" max="2" width="15.5703125" style="2" customWidth="1"/>
    <col min="3" max="3" width="31.42578125" style="2" bestFit="1" customWidth="1"/>
    <col min="4" max="4" width="60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102</v>
      </c>
      <c r="B2" s="2" t="s">
        <v>18</v>
      </c>
      <c r="C2" s="2" t="s">
        <v>144</v>
      </c>
      <c r="D2" s="2" t="s">
        <v>394</v>
      </c>
    </row>
    <row r="3" spans="1:4" x14ac:dyDescent="0.25">
      <c r="A3" s="2" t="s">
        <v>49</v>
      </c>
      <c r="B3" s="2" t="s">
        <v>18</v>
      </c>
      <c r="C3" s="2" t="s">
        <v>393</v>
      </c>
    </row>
    <row r="4" spans="1:4" x14ac:dyDescent="0.25">
      <c r="A4" s="2" t="s">
        <v>51</v>
      </c>
      <c r="B4" s="2" t="s">
        <v>18</v>
      </c>
      <c r="C4" s="2" t="s">
        <v>393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22"/>
  <sheetViews>
    <sheetView workbookViewId="0"/>
  </sheetViews>
  <sheetFormatPr defaultRowHeight="15" x14ac:dyDescent="0.25"/>
  <cols>
    <col min="1" max="1" width="40.85546875" style="2" bestFit="1" customWidth="1"/>
    <col min="2" max="2" width="15.28515625" style="2" customWidth="1"/>
    <col min="3" max="3" width="30.5703125" style="2" bestFit="1" customWidth="1"/>
    <col min="4" max="4" width="50.8554687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145</v>
      </c>
      <c r="B2" s="2" t="s">
        <v>18</v>
      </c>
      <c r="C2" s="2" t="s">
        <v>19</v>
      </c>
    </row>
    <row r="3" spans="1:4" x14ac:dyDescent="0.25">
      <c r="A3" s="2" t="s">
        <v>4</v>
      </c>
      <c r="B3" s="2" t="s">
        <v>18</v>
      </c>
      <c r="C3" s="2" t="s">
        <v>146</v>
      </c>
    </row>
    <row r="4" spans="1:4" x14ac:dyDescent="0.25">
      <c r="A4" s="2" t="s">
        <v>102</v>
      </c>
      <c r="B4" s="2" t="s">
        <v>18</v>
      </c>
      <c r="C4" s="2" t="s">
        <v>147</v>
      </c>
    </row>
    <row r="5" spans="1:4" x14ac:dyDescent="0.25">
      <c r="A5" s="2" t="s">
        <v>148</v>
      </c>
      <c r="B5" s="2" t="s">
        <v>18</v>
      </c>
      <c r="C5" s="2" t="s">
        <v>149</v>
      </c>
    </row>
    <row r="6" spans="1:4" x14ac:dyDescent="0.25">
      <c r="A6" s="2" t="s">
        <v>87</v>
      </c>
      <c r="B6" s="2" t="s">
        <v>18</v>
      </c>
      <c r="C6" s="2" t="s">
        <v>150</v>
      </c>
    </row>
    <row r="7" spans="1:4" x14ac:dyDescent="0.25">
      <c r="A7" s="2" t="s">
        <v>153</v>
      </c>
      <c r="B7" s="2" t="s">
        <v>397</v>
      </c>
    </row>
    <row r="8" spans="1:4" x14ac:dyDescent="0.25">
      <c r="A8" s="2" t="s">
        <v>154</v>
      </c>
      <c r="B8" s="2" t="s">
        <v>397</v>
      </c>
    </row>
    <row r="9" spans="1:4" x14ac:dyDescent="0.25">
      <c r="A9" s="2" t="s">
        <v>151</v>
      </c>
      <c r="B9" s="2" t="s">
        <v>382</v>
      </c>
    </row>
    <row r="10" spans="1:4" x14ac:dyDescent="0.25">
      <c r="A10" s="2" t="s">
        <v>152</v>
      </c>
      <c r="B10" s="2" t="s">
        <v>367</v>
      </c>
    </row>
    <row r="11" spans="1:4" s="5" customFormat="1" x14ac:dyDescent="0.25">
      <c r="A11" s="5" t="s">
        <v>155</v>
      </c>
      <c r="B11" s="5" t="s">
        <v>18</v>
      </c>
      <c r="D11" s="5" t="s">
        <v>156</v>
      </c>
    </row>
    <row r="12" spans="1:4" s="5" customFormat="1" x14ac:dyDescent="0.25">
      <c r="A12" s="5" t="s">
        <v>260</v>
      </c>
      <c r="B12" s="5" t="s">
        <v>374</v>
      </c>
      <c r="D12" s="5" t="s">
        <v>261</v>
      </c>
    </row>
    <row r="13" spans="1:4" s="5" customFormat="1" x14ac:dyDescent="0.25">
      <c r="A13" s="5" t="s">
        <v>262</v>
      </c>
      <c r="B13" s="5" t="s">
        <v>374</v>
      </c>
      <c r="D13" s="5" t="s">
        <v>261</v>
      </c>
    </row>
    <row r="14" spans="1:4" s="7" customFormat="1" x14ac:dyDescent="0.25">
      <c r="A14" s="7" t="s">
        <v>263</v>
      </c>
      <c r="B14" s="7" t="s">
        <v>382</v>
      </c>
    </row>
    <row r="15" spans="1:4" s="7" customFormat="1" x14ac:dyDescent="0.25">
      <c r="A15" s="7" t="s">
        <v>264</v>
      </c>
      <c r="B15" s="7" t="s">
        <v>397</v>
      </c>
    </row>
    <row r="16" spans="1:4" s="7" customFormat="1" x14ac:dyDescent="0.25">
      <c r="A16" s="7" t="s">
        <v>265</v>
      </c>
      <c r="B16" s="7" t="s">
        <v>376</v>
      </c>
    </row>
    <row r="17" spans="1:4" x14ac:dyDescent="0.25">
      <c r="A17" s="2" t="s">
        <v>157</v>
      </c>
      <c r="B17" s="2" t="s">
        <v>397</v>
      </c>
    </row>
    <row r="18" spans="1:4" x14ac:dyDescent="0.25">
      <c r="A18" s="2" t="s">
        <v>158</v>
      </c>
      <c r="B18" s="2" t="s">
        <v>397</v>
      </c>
    </row>
    <row r="19" spans="1:4" x14ac:dyDescent="0.25">
      <c r="A19" s="2" t="s">
        <v>159</v>
      </c>
      <c r="B19" s="2" t="s">
        <v>397</v>
      </c>
    </row>
    <row r="20" spans="1:4" x14ac:dyDescent="0.25">
      <c r="A20" s="2" t="s">
        <v>160</v>
      </c>
      <c r="B20" s="2" t="s">
        <v>397</v>
      </c>
    </row>
    <row r="21" spans="1:4" s="5" customFormat="1" ht="45" x14ac:dyDescent="0.25">
      <c r="A21" s="5" t="s">
        <v>269</v>
      </c>
      <c r="B21" s="5" t="s">
        <v>18</v>
      </c>
      <c r="D21" s="6" t="s">
        <v>398</v>
      </c>
    </row>
    <row r="22" spans="1:4" s="5" customFormat="1" x14ac:dyDescent="0.25">
      <c r="A22" s="5" t="s">
        <v>270</v>
      </c>
      <c r="B22" s="5" t="s">
        <v>18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5"/>
  <sheetViews>
    <sheetView workbookViewId="0">
      <selection activeCell="B5" sqref="B5"/>
    </sheetView>
  </sheetViews>
  <sheetFormatPr defaultRowHeight="15" x14ac:dyDescent="0.25"/>
  <cols>
    <col min="1" max="1" width="23.85546875" style="2" bestFit="1" customWidth="1"/>
    <col min="2" max="2" width="21.42578125" style="2" customWidth="1"/>
    <col min="3" max="3" width="28.28515625" style="2" bestFit="1" customWidth="1"/>
    <col min="4" max="4" width="20.57031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145</v>
      </c>
      <c r="B2" s="2" t="s">
        <v>18</v>
      </c>
      <c r="C2" s="2" t="s">
        <v>161</v>
      </c>
    </row>
    <row r="3" spans="1:4" x14ac:dyDescent="0.25">
      <c r="A3" s="2" t="s">
        <v>26</v>
      </c>
      <c r="B3" s="2" t="s">
        <v>18</v>
      </c>
      <c r="C3" s="2" t="s">
        <v>52</v>
      </c>
    </row>
    <row r="4" spans="1:4" x14ac:dyDescent="0.25">
      <c r="A4" s="2" t="s">
        <v>336</v>
      </c>
      <c r="B4" s="2" t="s">
        <v>18</v>
      </c>
      <c r="C4" s="2" t="s">
        <v>337</v>
      </c>
    </row>
    <row r="5" spans="1:4" x14ac:dyDescent="0.25">
      <c r="A5" s="2" t="s">
        <v>162</v>
      </c>
      <c r="B5" s="2" t="s">
        <v>367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3"/>
  <sheetViews>
    <sheetView workbookViewId="0">
      <selection activeCell="D2" sqref="D2"/>
    </sheetView>
  </sheetViews>
  <sheetFormatPr defaultRowHeight="15" x14ac:dyDescent="0.25"/>
  <cols>
    <col min="1" max="1" width="19" style="2" customWidth="1"/>
    <col min="2" max="2" width="19.28515625" style="2" customWidth="1"/>
    <col min="3" max="3" width="21.5703125" style="2" customWidth="1"/>
    <col min="4" max="4" width="3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05" x14ac:dyDescent="0.25">
      <c r="A2" s="2" t="s">
        <v>334</v>
      </c>
      <c r="B2" s="2" t="s">
        <v>18</v>
      </c>
      <c r="C2" s="2" t="s">
        <v>19</v>
      </c>
      <c r="D2" s="3" t="s">
        <v>399</v>
      </c>
    </row>
    <row r="3" spans="1:4" x14ac:dyDescent="0.25">
      <c r="A3" s="2" t="s">
        <v>335</v>
      </c>
      <c r="B3" s="2" t="s">
        <v>366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5"/>
  <sheetViews>
    <sheetView workbookViewId="0">
      <selection activeCell="C4" sqref="C4"/>
    </sheetView>
  </sheetViews>
  <sheetFormatPr defaultRowHeight="15" x14ac:dyDescent="0.25"/>
  <cols>
    <col min="1" max="1" width="23.85546875" style="2" bestFit="1" customWidth="1"/>
    <col min="2" max="2" width="20" style="2" customWidth="1"/>
    <col min="3" max="3" width="29.42578125" style="2" customWidth="1"/>
    <col min="4" max="4" width="27.1406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145</v>
      </c>
      <c r="B2" s="2" t="s">
        <v>18</v>
      </c>
      <c r="C2" s="2" t="s">
        <v>161</v>
      </c>
    </row>
    <row r="3" spans="1:4" x14ac:dyDescent="0.25">
      <c r="A3" s="2" t="s">
        <v>26</v>
      </c>
      <c r="B3" s="2" t="s">
        <v>18</v>
      </c>
      <c r="C3" s="2" t="s">
        <v>52</v>
      </c>
    </row>
    <row r="4" spans="1:4" x14ac:dyDescent="0.25">
      <c r="A4" s="2" t="s">
        <v>338</v>
      </c>
      <c r="B4" s="2" t="s">
        <v>18</v>
      </c>
      <c r="C4" s="2" t="s">
        <v>400</v>
      </c>
    </row>
    <row r="5" spans="1:4" x14ac:dyDescent="0.25">
      <c r="A5" s="2" t="s">
        <v>162</v>
      </c>
      <c r="B5" s="2" t="s">
        <v>367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3"/>
  <sheetViews>
    <sheetView workbookViewId="0">
      <selection activeCell="B4" sqref="B4"/>
    </sheetView>
  </sheetViews>
  <sheetFormatPr defaultRowHeight="15" x14ac:dyDescent="0.25"/>
  <cols>
    <col min="1" max="1" width="23.42578125" style="2" bestFit="1" customWidth="1"/>
    <col min="2" max="2" width="18.140625" style="2" customWidth="1"/>
    <col min="3" max="3" width="21" style="2" customWidth="1"/>
    <col min="4" max="4" width="19.1406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45" x14ac:dyDescent="0.25">
      <c r="A2" s="2" t="s">
        <v>338</v>
      </c>
      <c r="B2" s="2" t="s">
        <v>18</v>
      </c>
      <c r="C2" s="2" t="s">
        <v>19</v>
      </c>
      <c r="D2" s="3" t="s">
        <v>340</v>
      </c>
    </row>
    <row r="3" spans="1:4" x14ac:dyDescent="0.25">
      <c r="A3" s="2" t="s">
        <v>339</v>
      </c>
      <c r="B3" s="2" t="s">
        <v>366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13"/>
  <sheetViews>
    <sheetView workbookViewId="0">
      <selection activeCell="B13" sqref="B13"/>
    </sheetView>
  </sheetViews>
  <sheetFormatPr defaultColWidth="15.140625" defaultRowHeight="15" x14ac:dyDescent="0.25"/>
  <cols>
    <col min="1" max="1" width="31.28515625" style="2" bestFit="1" customWidth="1"/>
    <col min="2" max="2" width="15.140625" style="2"/>
    <col min="3" max="3" width="27.5703125" style="2" bestFit="1" customWidth="1"/>
    <col min="4" max="4" width="44.42578125" style="2" bestFit="1" customWidth="1"/>
    <col min="5" max="16384" width="15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53</v>
      </c>
      <c r="B2" s="2" t="s">
        <v>18</v>
      </c>
      <c r="C2" s="2" t="s">
        <v>401</v>
      </c>
    </row>
    <row r="3" spans="1:4" x14ac:dyDescent="0.25">
      <c r="A3" s="2" t="s">
        <v>54</v>
      </c>
      <c r="B3" s="2" t="s">
        <v>374</v>
      </c>
      <c r="C3" s="2" t="s">
        <v>375</v>
      </c>
    </row>
    <row r="4" spans="1:4" x14ac:dyDescent="0.25">
      <c r="A4" s="2" t="s">
        <v>55</v>
      </c>
      <c r="B4" s="2" t="s">
        <v>376</v>
      </c>
    </row>
    <row r="5" spans="1:4" x14ac:dyDescent="0.25">
      <c r="A5" s="2" t="s">
        <v>132</v>
      </c>
      <c r="B5" s="2" t="s">
        <v>18</v>
      </c>
      <c r="C5" s="2" t="s">
        <v>402</v>
      </c>
    </row>
    <row r="6" spans="1:4" x14ac:dyDescent="0.25">
      <c r="A6" s="2" t="s">
        <v>67</v>
      </c>
      <c r="B6" s="2" t="s">
        <v>18</v>
      </c>
      <c r="C6" s="2" t="s">
        <v>403</v>
      </c>
    </row>
    <row r="7" spans="1:4" x14ac:dyDescent="0.25">
      <c r="A7" s="2" t="s">
        <v>273</v>
      </c>
      <c r="B7" s="2" t="s">
        <v>18</v>
      </c>
      <c r="C7" s="2" t="s">
        <v>275</v>
      </c>
    </row>
    <row r="8" spans="1:4" x14ac:dyDescent="0.25">
      <c r="A8" s="2" t="s">
        <v>274</v>
      </c>
      <c r="B8" s="2" t="s">
        <v>18</v>
      </c>
      <c r="C8" s="2" t="s">
        <v>275</v>
      </c>
    </row>
    <row r="9" spans="1:4" x14ac:dyDescent="0.25">
      <c r="A9" s="2" t="s">
        <v>276</v>
      </c>
      <c r="B9" s="2" t="s">
        <v>382</v>
      </c>
    </row>
    <row r="10" spans="1:4" x14ac:dyDescent="0.25">
      <c r="A10" s="2" t="s">
        <v>277</v>
      </c>
      <c r="B10" s="2" t="s">
        <v>382</v>
      </c>
    </row>
    <row r="11" spans="1:4" x14ac:dyDescent="0.25">
      <c r="A11" s="2" t="s">
        <v>278</v>
      </c>
      <c r="B11" s="2" t="s">
        <v>18</v>
      </c>
      <c r="C11" s="2" t="s">
        <v>285</v>
      </c>
    </row>
    <row r="12" spans="1:4" x14ac:dyDescent="0.25">
      <c r="A12" s="2" t="s">
        <v>286</v>
      </c>
      <c r="B12" s="2" t="s">
        <v>404</v>
      </c>
    </row>
    <row r="13" spans="1:4" x14ac:dyDescent="0.25">
      <c r="A13" s="2" t="s">
        <v>295</v>
      </c>
      <c r="B13" s="2" t="s">
        <v>367</v>
      </c>
      <c r="D13" s="2" t="s">
        <v>405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12"/>
  <sheetViews>
    <sheetView workbookViewId="0">
      <selection activeCell="C9" sqref="C9"/>
    </sheetView>
  </sheetViews>
  <sheetFormatPr defaultRowHeight="15" x14ac:dyDescent="0.25"/>
  <cols>
    <col min="1" max="1" width="32" style="2" bestFit="1" customWidth="1"/>
    <col min="2" max="2" width="20.28515625" style="2" customWidth="1"/>
    <col min="3" max="3" width="19.28515625" style="2" customWidth="1"/>
    <col min="4" max="4" width="20.57031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67</v>
      </c>
      <c r="B2" s="2" t="s">
        <v>18</v>
      </c>
      <c r="C2" s="2" t="s">
        <v>19</v>
      </c>
    </row>
    <row r="3" spans="1:4" x14ac:dyDescent="0.25">
      <c r="A3" s="2" t="s">
        <v>53</v>
      </c>
      <c r="B3" s="2" t="s">
        <v>18</v>
      </c>
      <c r="C3" s="2" t="s">
        <v>25</v>
      </c>
    </row>
    <row r="4" spans="1:4" x14ac:dyDescent="0.25">
      <c r="A4" s="2" t="s">
        <v>64</v>
      </c>
      <c r="B4" s="2" t="s">
        <v>374</v>
      </c>
      <c r="C4" s="2" t="s">
        <v>375</v>
      </c>
    </row>
    <row r="5" spans="1:4" x14ac:dyDescent="0.25">
      <c r="A5" s="2" t="s">
        <v>65</v>
      </c>
      <c r="B5" s="2" t="s">
        <v>374</v>
      </c>
      <c r="C5" s="2" t="s">
        <v>375</v>
      </c>
    </row>
    <row r="6" spans="1:4" x14ac:dyDescent="0.25">
      <c r="A6" s="2" t="s">
        <v>66</v>
      </c>
      <c r="B6" s="2" t="s">
        <v>376</v>
      </c>
    </row>
    <row r="7" spans="1:4" x14ac:dyDescent="0.25">
      <c r="A7" s="4" t="s">
        <v>68</v>
      </c>
      <c r="B7" s="2" t="s">
        <v>370</v>
      </c>
      <c r="C7" s="2" t="s">
        <v>375</v>
      </c>
    </row>
    <row r="8" spans="1:4" x14ac:dyDescent="0.25">
      <c r="A8" s="4" t="s">
        <v>69</v>
      </c>
      <c r="B8" s="2" t="s">
        <v>370</v>
      </c>
    </row>
    <row r="9" spans="1:4" x14ac:dyDescent="0.25">
      <c r="A9" s="4" t="s">
        <v>70</v>
      </c>
      <c r="B9" s="2" t="s">
        <v>371</v>
      </c>
      <c r="C9" s="2" t="s">
        <v>375</v>
      </c>
    </row>
    <row r="10" spans="1:4" x14ac:dyDescent="0.25">
      <c r="A10" s="4" t="s">
        <v>71</v>
      </c>
      <c r="B10" s="2" t="s">
        <v>374</v>
      </c>
    </row>
    <row r="11" spans="1:4" x14ac:dyDescent="0.25">
      <c r="A11" s="4" t="s">
        <v>72</v>
      </c>
      <c r="B11" s="2" t="s">
        <v>374</v>
      </c>
    </row>
    <row r="12" spans="1:4" x14ac:dyDescent="0.25">
      <c r="A12" s="4" t="s">
        <v>73</v>
      </c>
      <c r="B12" s="2" t="s">
        <v>374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3"/>
  <sheetViews>
    <sheetView workbookViewId="0">
      <selection activeCell="C3" sqref="C3"/>
    </sheetView>
  </sheetViews>
  <sheetFormatPr defaultRowHeight="15" x14ac:dyDescent="0.25"/>
  <cols>
    <col min="1" max="1" width="23.5703125" customWidth="1"/>
    <col min="2" max="2" width="20.28515625" customWidth="1"/>
    <col min="3" max="3" width="17.28515625" customWidth="1"/>
    <col min="4" max="4" width="24.42578125" customWidth="1"/>
    <col min="5" max="5" width="23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2"/>
    </row>
    <row r="2" spans="1:5" ht="135" x14ac:dyDescent="0.25">
      <c r="A2" s="2" t="s">
        <v>132</v>
      </c>
      <c r="B2" t="s">
        <v>18</v>
      </c>
      <c r="C2" s="2" t="s">
        <v>19</v>
      </c>
      <c r="D2" s="3" t="s">
        <v>134</v>
      </c>
      <c r="E2" s="5" t="s">
        <v>135</v>
      </c>
    </row>
    <row r="3" spans="1:5" x14ac:dyDescent="0.25">
      <c r="A3" s="2" t="s">
        <v>133</v>
      </c>
      <c r="B3" s="2" t="s">
        <v>366</v>
      </c>
      <c r="C3" s="2" t="s">
        <v>375</v>
      </c>
      <c r="D3" s="2"/>
      <c r="E3" s="2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0"/>
  <sheetViews>
    <sheetView workbookViewId="0">
      <selection activeCell="C10" sqref="C10"/>
    </sheetView>
  </sheetViews>
  <sheetFormatPr defaultRowHeight="15" x14ac:dyDescent="0.25"/>
  <cols>
    <col min="1" max="1" width="24.42578125" style="2" bestFit="1" customWidth="1"/>
    <col min="2" max="2" width="14" style="2" customWidth="1"/>
    <col min="3" max="3" width="16" style="2" customWidth="1"/>
    <col min="4" max="4" width="19.710937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s="8" customFormat="1" x14ac:dyDescent="0.25">
      <c r="A2" s="8" t="s">
        <v>272</v>
      </c>
      <c r="B2" s="8" t="s">
        <v>18</v>
      </c>
      <c r="C2" s="8" t="s">
        <v>19</v>
      </c>
    </row>
    <row r="3" spans="1:4" x14ac:dyDescent="0.25">
      <c r="A3" s="2" t="s">
        <v>56</v>
      </c>
      <c r="B3" s="2" t="s">
        <v>374</v>
      </c>
      <c r="C3" s="2" t="s">
        <v>375</v>
      </c>
    </row>
    <row r="4" spans="1:4" x14ac:dyDescent="0.25">
      <c r="A4" s="2" t="s">
        <v>57</v>
      </c>
      <c r="B4" s="2" t="s">
        <v>374</v>
      </c>
    </row>
    <row r="5" spans="1:4" x14ac:dyDescent="0.25">
      <c r="A5" s="2" t="s">
        <v>58</v>
      </c>
      <c r="B5" s="2" t="s">
        <v>374</v>
      </c>
      <c r="C5" s="2" t="s">
        <v>375</v>
      </c>
    </row>
    <row r="6" spans="1:4" x14ac:dyDescent="0.25">
      <c r="A6" s="2" t="s">
        <v>59</v>
      </c>
      <c r="B6" s="2" t="s">
        <v>376</v>
      </c>
      <c r="C6" s="2" t="s">
        <v>375</v>
      </c>
    </row>
    <row r="7" spans="1:4" x14ac:dyDescent="0.25">
      <c r="A7" s="2" t="s">
        <v>60</v>
      </c>
      <c r="B7" s="2" t="s">
        <v>367</v>
      </c>
      <c r="C7" s="2" t="s">
        <v>375</v>
      </c>
    </row>
    <row r="8" spans="1:4" x14ac:dyDescent="0.25">
      <c r="A8" s="2" t="s">
        <v>61</v>
      </c>
      <c r="B8" s="2" t="s">
        <v>370</v>
      </c>
      <c r="C8" s="2" t="s">
        <v>375</v>
      </c>
    </row>
    <row r="9" spans="1:4" x14ac:dyDescent="0.25">
      <c r="A9" s="2" t="s">
        <v>62</v>
      </c>
      <c r="B9" s="2" t="s">
        <v>370</v>
      </c>
    </row>
    <row r="10" spans="1:4" x14ac:dyDescent="0.25">
      <c r="A10" s="2" t="s">
        <v>63</v>
      </c>
      <c r="B10" s="2" t="s">
        <v>371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19"/>
  <sheetViews>
    <sheetView topLeftCell="A11" workbookViewId="0">
      <selection activeCell="C17" sqref="C17"/>
    </sheetView>
  </sheetViews>
  <sheetFormatPr defaultRowHeight="15" x14ac:dyDescent="0.25"/>
  <cols>
    <col min="1" max="1" width="43" style="2" bestFit="1" customWidth="1"/>
    <col min="2" max="2" width="14.5703125" style="2" customWidth="1"/>
    <col min="3" max="3" width="33.85546875" style="2" customWidth="1"/>
    <col min="4" max="4" width="45.8554687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77</v>
      </c>
      <c r="B2" s="2" t="s">
        <v>18</v>
      </c>
      <c r="C2" s="2" t="s">
        <v>19</v>
      </c>
    </row>
    <row r="3" spans="1:4" x14ac:dyDescent="0.25">
      <c r="A3" s="2" t="s">
        <v>74</v>
      </c>
      <c r="B3" s="2" t="s">
        <v>18</v>
      </c>
      <c r="C3" s="2" t="s">
        <v>406</v>
      </c>
    </row>
    <row r="4" spans="1:4" x14ac:dyDescent="0.25">
      <c r="A4" s="2" t="s">
        <v>78</v>
      </c>
      <c r="B4" s="2" t="s">
        <v>374</v>
      </c>
      <c r="C4" s="2" t="s">
        <v>375</v>
      </c>
    </row>
    <row r="5" spans="1:4" x14ac:dyDescent="0.25">
      <c r="A5" s="2" t="s">
        <v>86</v>
      </c>
      <c r="B5" s="2" t="s">
        <v>371</v>
      </c>
      <c r="C5" s="2" t="s">
        <v>375</v>
      </c>
    </row>
    <row r="6" spans="1:4" x14ac:dyDescent="0.25">
      <c r="A6" s="2" t="s">
        <v>316</v>
      </c>
      <c r="B6" s="2" t="s">
        <v>18</v>
      </c>
      <c r="C6" s="2" t="s">
        <v>409</v>
      </c>
    </row>
    <row r="7" spans="1:4" ht="30" x14ac:dyDescent="0.25">
      <c r="A7" s="2" t="s">
        <v>317</v>
      </c>
      <c r="B7" s="2" t="s">
        <v>18</v>
      </c>
      <c r="C7" s="2" t="s">
        <v>318</v>
      </c>
      <c r="D7" s="3" t="s">
        <v>410</v>
      </c>
    </row>
    <row r="8" spans="1:4" ht="30" x14ac:dyDescent="0.25">
      <c r="A8" s="2" t="s">
        <v>319</v>
      </c>
      <c r="B8" s="2" t="s">
        <v>18</v>
      </c>
      <c r="C8" s="2" t="s">
        <v>318</v>
      </c>
      <c r="D8" s="3" t="s">
        <v>410</v>
      </c>
    </row>
    <row r="9" spans="1:4" x14ac:dyDescent="0.25">
      <c r="A9" s="2" t="s">
        <v>407</v>
      </c>
      <c r="B9" s="2" t="s">
        <v>18</v>
      </c>
      <c r="C9" s="2" t="s">
        <v>409</v>
      </c>
      <c r="D9" s="3"/>
    </row>
    <row r="10" spans="1:4" x14ac:dyDescent="0.25">
      <c r="A10" s="2" t="s">
        <v>323</v>
      </c>
      <c r="B10" s="2" t="s">
        <v>382</v>
      </c>
      <c r="C10" s="2" t="s">
        <v>375</v>
      </c>
    </row>
    <row r="11" spans="1:4" x14ac:dyDescent="0.25">
      <c r="A11" s="2" t="s">
        <v>320</v>
      </c>
      <c r="B11" s="2" t="s">
        <v>382</v>
      </c>
      <c r="C11" s="2" t="s">
        <v>375</v>
      </c>
    </row>
    <row r="12" spans="1:4" x14ac:dyDescent="0.25">
      <c r="A12" s="2" t="s">
        <v>321</v>
      </c>
      <c r="B12" s="2" t="s">
        <v>382</v>
      </c>
      <c r="C12" s="2" t="s">
        <v>375</v>
      </c>
      <c r="D12" s="2" t="s">
        <v>322</v>
      </c>
    </row>
    <row r="13" spans="1:4" s="5" customFormat="1" ht="30" x14ac:dyDescent="0.25">
      <c r="A13" s="5" t="s">
        <v>324</v>
      </c>
      <c r="B13" s="5" t="s">
        <v>408</v>
      </c>
      <c r="D13" s="6" t="s">
        <v>325</v>
      </c>
    </row>
    <row r="14" spans="1:4" ht="45" x14ac:dyDescent="0.25">
      <c r="A14" s="2" t="s">
        <v>100</v>
      </c>
      <c r="B14" s="2" t="s">
        <v>370</v>
      </c>
      <c r="C14" s="2" t="s">
        <v>375</v>
      </c>
      <c r="D14" s="3" t="s">
        <v>101</v>
      </c>
    </row>
    <row r="15" spans="1:4" ht="45" x14ac:dyDescent="0.25">
      <c r="A15" s="2" t="s">
        <v>114</v>
      </c>
      <c r="B15" s="2" t="s">
        <v>374</v>
      </c>
      <c r="C15" s="2" t="s">
        <v>375</v>
      </c>
      <c r="D15" s="3" t="s">
        <v>119</v>
      </c>
    </row>
    <row r="16" spans="1:4" ht="45" x14ac:dyDescent="0.25">
      <c r="A16" s="2" t="s">
        <v>115</v>
      </c>
      <c r="B16" s="2" t="s">
        <v>374</v>
      </c>
      <c r="C16" s="2" t="s">
        <v>375</v>
      </c>
      <c r="D16" s="3" t="s">
        <v>120</v>
      </c>
    </row>
    <row r="17" spans="1:4" ht="60" x14ac:dyDescent="0.25">
      <c r="A17" s="2" t="s">
        <v>116</v>
      </c>
      <c r="B17" s="2" t="s">
        <v>374</v>
      </c>
      <c r="D17" s="3" t="s">
        <v>121</v>
      </c>
    </row>
    <row r="18" spans="1:4" ht="60" x14ac:dyDescent="0.25">
      <c r="A18" s="2" t="s">
        <v>117</v>
      </c>
      <c r="B18" s="2" t="s">
        <v>374</v>
      </c>
      <c r="D18" s="3" t="s">
        <v>122</v>
      </c>
    </row>
    <row r="19" spans="1:4" ht="45" x14ac:dyDescent="0.25">
      <c r="A19" s="2" t="s">
        <v>118</v>
      </c>
      <c r="B19" s="2" t="s">
        <v>374</v>
      </c>
      <c r="D19" s="3" t="s">
        <v>123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9"/>
  <sheetViews>
    <sheetView workbookViewId="0">
      <selection activeCell="C8" sqref="C8"/>
    </sheetView>
  </sheetViews>
  <sheetFormatPr defaultRowHeight="15" x14ac:dyDescent="0.25"/>
  <cols>
    <col min="1" max="1" width="19.42578125" style="2" customWidth="1"/>
    <col min="2" max="2" width="24.28515625" style="2" customWidth="1"/>
    <col min="3" max="3" width="23.28515625" style="2" customWidth="1"/>
    <col min="4" max="4" width="17.1406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315</v>
      </c>
      <c r="B2" s="2" t="s">
        <v>18</v>
      </c>
      <c r="C2" s="2" t="s">
        <v>19</v>
      </c>
    </row>
    <row r="3" spans="1:4" x14ac:dyDescent="0.25">
      <c r="A3" s="2" t="s">
        <v>79</v>
      </c>
      <c r="B3" s="2" t="s">
        <v>374</v>
      </c>
      <c r="C3" s="2" t="s">
        <v>375</v>
      </c>
    </row>
    <row r="4" spans="1:4" x14ac:dyDescent="0.25">
      <c r="A4" s="2" t="s">
        <v>80</v>
      </c>
      <c r="B4" s="2" t="s">
        <v>374</v>
      </c>
    </row>
    <row r="5" spans="1:4" x14ac:dyDescent="0.25">
      <c r="A5" s="2" t="s">
        <v>81</v>
      </c>
      <c r="B5" s="2" t="s">
        <v>374</v>
      </c>
      <c r="C5" s="2" t="s">
        <v>375</v>
      </c>
    </row>
    <row r="6" spans="1:4" x14ac:dyDescent="0.25">
      <c r="A6" s="2" t="s">
        <v>82</v>
      </c>
      <c r="B6" s="2" t="s">
        <v>376</v>
      </c>
      <c r="C6" s="2" t="s">
        <v>375</v>
      </c>
    </row>
    <row r="7" spans="1:4" x14ac:dyDescent="0.25">
      <c r="A7" s="2" t="s">
        <v>83</v>
      </c>
      <c r="B7" s="2" t="s">
        <v>367</v>
      </c>
      <c r="C7" s="2" t="s">
        <v>375</v>
      </c>
    </row>
    <row r="8" spans="1:4" x14ac:dyDescent="0.25">
      <c r="A8" s="2" t="s">
        <v>84</v>
      </c>
      <c r="B8" s="2" t="s">
        <v>370</v>
      </c>
      <c r="C8" s="2" t="s">
        <v>375</v>
      </c>
    </row>
    <row r="9" spans="1:4" x14ac:dyDescent="0.25">
      <c r="A9" s="2" t="s">
        <v>85</v>
      </c>
      <c r="B9" s="2" t="s">
        <v>370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D3"/>
  <sheetViews>
    <sheetView workbookViewId="0">
      <selection activeCell="B1" sqref="B1:B1048576"/>
    </sheetView>
  </sheetViews>
  <sheetFormatPr defaultRowHeight="15" x14ac:dyDescent="0.25"/>
  <cols>
    <col min="1" max="1" width="28.5703125" customWidth="1"/>
    <col min="2" max="2" width="13.140625" bestFit="1" customWidth="1"/>
    <col min="3" max="3" width="11.85546875" customWidth="1"/>
    <col min="4" max="4" width="26.2851562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43.5" customHeight="1" x14ac:dyDescent="0.25">
      <c r="A2" s="2" t="s">
        <v>74</v>
      </c>
      <c r="B2" s="2" t="s">
        <v>18</v>
      </c>
      <c r="C2" s="2" t="s">
        <v>19</v>
      </c>
      <c r="D2" s="3" t="s">
        <v>76</v>
      </c>
    </row>
    <row r="3" spans="1:4" x14ac:dyDescent="0.25">
      <c r="A3" s="2" t="s">
        <v>75</v>
      </c>
      <c r="B3" s="2" t="s">
        <v>366</v>
      </c>
      <c r="C3" s="2"/>
      <c r="D3" s="2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3"/>
  <sheetViews>
    <sheetView workbookViewId="0">
      <selection activeCell="C1" sqref="C1:C1048576"/>
    </sheetView>
  </sheetViews>
  <sheetFormatPr defaultRowHeight="15" x14ac:dyDescent="0.25"/>
  <cols>
    <col min="1" max="1" width="20.85546875" style="2" bestFit="1" customWidth="1"/>
    <col min="2" max="2" width="14.140625" style="2" bestFit="1" customWidth="1"/>
    <col min="3" max="3" width="20" style="2" customWidth="1"/>
    <col min="4" max="4" width="27.570312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90" x14ac:dyDescent="0.25">
      <c r="A2" s="2" t="s">
        <v>327</v>
      </c>
      <c r="B2" s="2" t="s">
        <v>18</v>
      </c>
      <c r="C2" s="2" t="s">
        <v>19</v>
      </c>
      <c r="D2" s="3" t="s">
        <v>328</v>
      </c>
    </row>
    <row r="3" spans="1:4" x14ac:dyDescent="0.25">
      <c r="A3" s="2" t="s">
        <v>326</v>
      </c>
      <c r="B3" s="2" t="s">
        <v>374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D4"/>
  <sheetViews>
    <sheetView workbookViewId="0">
      <selection activeCell="D1" sqref="D1:D1048576"/>
    </sheetView>
  </sheetViews>
  <sheetFormatPr defaultColWidth="18.5703125" defaultRowHeight="15" x14ac:dyDescent="0.25"/>
  <cols>
    <col min="1" max="2" width="18.5703125" style="2"/>
    <col min="3" max="3" width="26.5703125" style="2" bestFit="1" customWidth="1"/>
    <col min="4" max="4" width="76.7109375" style="2" bestFit="1" customWidth="1"/>
    <col min="5" max="16384" width="18.57031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77</v>
      </c>
      <c r="B2" s="2" t="s">
        <v>18</v>
      </c>
      <c r="C2" s="2" t="s">
        <v>329</v>
      </c>
    </row>
    <row r="3" spans="1:4" x14ac:dyDescent="0.25">
      <c r="A3" s="2" t="s">
        <v>327</v>
      </c>
      <c r="B3" s="2" t="s">
        <v>18</v>
      </c>
      <c r="C3" s="2" t="s">
        <v>330</v>
      </c>
    </row>
    <row r="4" spans="1:4" x14ac:dyDescent="0.25">
      <c r="A4" s="2" t="s">
        <v>331</v>
      </c>
      <c r="B4" s="2" t="s">
        <v>404</v>
      </c>
      <c r="D4" s="2" t="s">
        <v>411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D14"/>
  <sheetViews>
    <sheetView workbookViewId="0">
      <selection activeCell="C14" sqref="C14"/>
    </sheetView>
  </sheetViews>
  <sheetFormatPr defaultRowHeight="15" x14ac:dyDescent="0.25"/>
  <cols>
    <col min="1" max="1" width="19.85546875" style="2" customWidth="1"/>
    <col min="2" max="2" width="26" style="2" customWidth="1"/>
    <col min="3" max="3" width="16.28515625" style="2" customWidth="1"/>
    <col min="4" max="4" width="60.425781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30" x14ac:dyDescent="0.25">
      <c r="A2" s="2" t="s">
        <v>87</v>
      </c>
      <c r="B2" s="2" t="s">
        <v>18</v>
      </c>
      <c r="C2" s="2" t="s">
        <v>19</v>
      </c>
      <c r="D2" s="3" t="s">
        <v>412</v>
      </c>
    </row>
    <row r="3" spans="1:4" ht="60" x14ac:dyDescent="0.25">
      <c r="A3" s="2" t="s">
        <v>88</v>
      </c>
      <c r="B3" s="2" t="s">
        <v>367</v>
      </c>
      <c r="C3" s="3" t="s">
        <v>413</v>
      </c>
    </row>
    <row r="4" spans="1:4" x14ac:dyDescent="0.25">
      <c r="A4" s="2" t="s">
        <v>89</v>
      </c>
      <c r="B4" s="2" t="s">
        <v>374</v>
      </c>
      <c r="C4" s="2" t="s">
        <v>375</v>
      </c>
    </row>
    <row r="5" spans="1:4" x14ac:dyDescent="0.25">
      <c r="A5" s="2" t="s">
        <v>90</v>
      </c>
      <c r="B5" s="2" t="s">
        <v>374</v>
      </c>
      <c r="C5" s="2" t="s">
        <v>375</v>
      </c>
    </row>
    <row r="6" spans="1:4" x14ac:dyDescent="0.25">
      <c r="A6" s="2" t="s">
        <v>91</v>
      </c>
      <c r="B6" s="2" t="s">
        <v>367</v>
      </c>
    </row>
    <row r="7" spans="1:4" x14ac:dyDescent="0.25">
      <c r="A7" s="2" t="s">
        <v>92</v>
      </c>
      <c r="B7" s="2" t="s">
        <v>374</v>
      </c>
      <c r="C7" s="2" t="s">
        <v>375</v>
      </c>
    </row>
    <row r="8" spans="1:4" x14ac:dyDescent="0.25">
      <c r="A8" s="2" t="s">
        <v>93</v>
      </c>
      <c r="B8" s="2" t="s">
        <v>374</v>
      </c>
    </row>
    <row r="9" spans="1:4" x14ac:dyDescent="0.25">
      <c r="A9" s="2" t="s">
        <v>94</v>
      </c>
      <c r="B9" s="2" t="s">
        <v>374</v>
      </c>
      <c r="C9" s="2" t="s">
        <v>375</v>
      </c>
    </row>
    <row r="10" spans="1:4" x14ac:dyDescent="0.25">
      <c r="A10" s="2" t="s">
        <v>95</v>
      </c>
      <c r="B10" s="2" t="s">
        <v>376</v>
      </c>
      <c r="C10" s="2" t="s">
        <v>375</v>
      </c>
    </row>
    <row r="11" spans="1:4" x14ac:dyDescent="0.25">
      <c r="A11" s="2" t="s">
        <v>96</v>
      </c>
      <c r="B11" s="2" t="s">
        <v>367</v>
      </c>
      <c r="C11" s="2" t="s">
        <v>375</v>
      </c>
    </row>
    <row r="12" spans="1:4" x14ac:dyDescent="0.25">
      <c r="A12" s="2" t="s">
        <v>97</v>
      </c>
      <c r="B12" s="2" t="s">
        <v>370</v>
      </c>
      <c r="C12" s="2" t="s">
        <v>375</v>
      </c>
    </row>
    <row r="13" spans="1:4" x14ac:dyDescent="0.25">
      <c r="A13" s="2" t="s">
        <v>98</v>
      </c>
      <c r="B13" s="2" t="s">
        <v>370</v>
      </c>
    </row>
    <row r="14" spans="1:4" x14ac:dyDescent="0.25">
      <c r="A14" s="2" t="s">
        <v>99</v>
      </c>
      <c r="B14" s="2" t="s">
        <v>371</v>
      </c>
      <c r="C14" s="2" t="s">
        <v>375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D3"/>
  <sheetViews>
    <sheetView workbookViewId="0">
      <selection activeCell="D3" sqref="D3"/>
    </sheetView>
  </sheetViews>
  <sheetFormatPr defaultRowHeight="15" x14ac:dyDescent="0.25"/>
  <cols>
    <col min="1" max="1" width="17.42578125" style="2" bestFit="1" customWidth="1"/>
    <col min="2" max="2" width="16.42578125" style="2" customWidth="1"/>
    <col min="3" max="3" width="19.5703125" style="2" customWidth="1"/>
    <col min="4" max="4" width="17.1406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30" x14ac:dyDescent="0.25">
      <c r="A2" s="2" t="s">
        <v>129</v>
      </c>
      <c r="B2" s="2" t="s">
        <v>18</v>
      </c>
      <c r="C2" s="2" t="s">
        <v>19</v>
      </c>
      <c r="D2" s="3" t="s">
        <v>414</v>
      </c>
    </row>
    <row r="3" spans="1:4" x14ac:dyDescent="0.25">
      <c r="A3" s="2" t="s">
        <v>137</v>
      </c>
      <c r="B3" s="2" t="s">
        <v>374</v>
      </c>
      <c r="C3" s="2" t="s">
        <v>375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D3"/>
  <sheetViews>
    <sheetView workbookViewId="0">
      <selection activeCell="D2" sqref="D2"/>
    </sheetView>
  </sheetViews>
  <sheetFormatPr defaultRowHeight="15" x14ac:dyDescent="0.25"/>
  <cols>
    <col min="1" max="1" width="20.42578125" style="2" customWidth="1"/>
    <col min="2" max="2" width="9.140625" style="2"/>
    <col min="3" max="3" width="35.85546875" style="2" customWidth="1"/>
    <col min="4" max="4" width="50.4257812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129</v>
      </c>
      <c r="B2" s="2" t="s">
        <v>18</v>
      </c>
      <c r="C2" s="2" t="s">
        <v>287</v>
      </c>
      <c r="D2" s="5" t="s">
        <v>415</v>
      </c>
    </row>
    <row r="3" spans="1:4" x14ac:dyDescent="0.25">
      <c r="A3" s="2" t="s">
        <v>21</v>
      </c>
      <c r="B3" s="2" t="s">
        <v>18</v>
      </c>
      <c r="C3" s="2" t="s">
        <v>143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3"/>
  <sheetViews>
    <sheetView workbookViewId="0">
      <selection activeCell="B3" sqref="B3"/>
    </sheetView>
  </sheetViews>
  <sheetFormatPr defaultRowHeight="15" x14ac:dyDescent="0.25"/>
  <cols>
    <col min="1" max="1" width="13.140625" style="2" customWidth="1"/>
    <col min="2" max="2" width="16.42578125" style="2" customWidth="1"/>
    <col min="3" max="3" width="20.7109375" style="2" bestFit="1" customWidth="1"/>
    <col min="4" max="4" width="39.14062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53</v>
      </c>
      <c r="B2" s="2" t="s">
        <v>18</v>
      </c>
      <c r="C2" s="2" t="s">
        <v>289</v>
      </c>
      <c r="D2" s="5" t="s">
        <v>416</v>
      </c>
    </row>
    <row r="3" spans="1:4" x14ac:dyDescent="0.25">
      <c r="A3" s="2" t="s">
        <v>129</v>
      </c>
      <c r="B3" s="2" t="s">
        <v>18</v>
      </c>
      <c r="C3" s="2" t="s">
        <v>287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E4"/>
  <sheetViews>
    <sheetView workbookViewId="0">
      <selection activeCell="B4" sqref="B4"/>
    </sheetView>
  </sheetViews>
  <sheetFormatPr defaultRowHeight="15" x14ac:dyDescent="0.25"/>
  <cols>
    <col min="1" max="1" width="22.140625" style="2" customWidth="1"/>
    <col min="2" max="2" width="16.28515625" style="2" customWidth="1"/>
    <col min="3" max="3" width="20.7109375" style="2" bestFit="1" customWidth="1"/>
    <col min="4" max="4" width="19.7109375" style="2" customWidth="1"/>
    <col min="5" max="5" width="47.42578125" style="2" bestFit="1" customWidth="1"/>
    <col min="6" max="16384" width="9.140625" style="2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5" ht="90" x14ac:dyDescent="0.25">
      <c r="A2" s="2" t="s">
        <v>138</v>
      </c>
      <c r="B2" s="2" t="s">
        <v>18</v>
      </c>
      <c r="C2" s="2" t="s">
        <v>19</v>
      </c>
      <c r="D2" s="3" t="s">
        <v>141</v>
      </c>
      <c r="E2" s="2" t="s">
        <v>417</v>
      </c>
    </row>
    <row r="3" spans="1:5" x14ac:dyDescent="0.25">
      <c r="A3" s="2" t="s">
        <v>139</v>
      </c>
      <c r="B3" s="2" t="s">
        <v>376</v>
      </c>
    </row>
    <row r="4" spans="1:5" x14ac:dyDescent="0.25">
      <c r="A4" s="2" t="s">
        <v>129</v>
      </c>
      <c r="B4" s="2" t="s">
        <v>18</v>
      </c>
      <c r="C4" s="2" t="s">
        <v>287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D9"/>
  <sheetViews>
    <sheetView workbookViewId="0">
      <selection activeCell="B7" sqref="B7"/>
    </sheetView>
  </sheetViews>
  <sheetFormatPr defaultRowHeight="15" x14ac:dyDescent="0.25"/>
  <cols>
    <col min="1" max="1" width="32.28515625" style="2" customWidth="1"/>
    <col min="2" max="2" width="28" style="2" customWidth="1"/>
    <col min="3" max="3" width="26" style="2" bestFit="1" customWidth="1"/>
    <col min="4" max="4" width="46.2851562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138</v>
      </c>
      <c r="B2" s="2" t="s">
        <v>18</v>
      </c>
      <c r="C2" s="2" t="s">
        <v>142</v>
      </c>
    </row>
    <row r="3" spans="1:4" x14ac:dyDescent="0.25">
      <c r="A3" s="2" t="s">
        <v>129</v>
      </c>
      <c r="B3" s="2" t="s">
        <v>18</v>
      </c>
      <c r="C3" s="2" t="s">
        <v>288</v>
      </c>
    </row>
    <row r="4" spans="1:4" x14ac:dyDescent="0.25">
      <c r="A4" s="2" t="s">
        <v>21</v>
      </c>
      <c r="B4" s="2" t="s">
        <v>18</v>
      </c>
      <c r="C4" s="2" t="s">
        <v>143</v>
      </c>
    </row>
    <row r="5" spans="1:4" x14ac:dyDescent="0.25">
      <c r="A5" s="2" t="s">
        <v>49</v>
      </c>
      <c r="B5" s="2" t="s">
        <v>18</v>
      </c>
      <c r="C5" s="2" t="s">
        <v>136</v>
      </c>
    </row>
    <row r="6" spans="1:4" x14ac:dyDescent="0.25">
      <c r="A6" s="2" t="s">
        <v>53</v>
      </c>
      <c r="B6" s="2" t="s">
        <v>18</v>
      </c>
      <c r="C6" s="2" t="s">
        <v>291</v>
      </c>
    </row>
    <row r="7" spans="1:4" x14ac:dyDescent="0.25">
      <c r="A7" s="2" t="s">
        <v>290</v>
      </c>
      <c r="B7" s="2" t="s">
        <v>404</v>
      </c>
    </row>
    <row r="9" spans="1:4" s="5" customFormat="1" x14ac:dyDescent="0.25">
      <c r="D9" s="5" t="s">
        <v>292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D10"/>
  <sheetViews>
    <sheetView workbookViewId="0">
      <selection activeCell="B11" sqref="B11"/>
    </sheetView>
  </sheetViews>
  <sheetFormatPr defaultRowHeight="15" x14ac:dyDescent="0.25"/>
  <cols>
    <col min="1" max="1" width="36.140625" style="2" bestFit="1" customWidth="1"/>
    <col min="2" max="2" width="15.28515625" style="2" customWidth="1"/>
    <col min="3" max="3" width="20" style="2" customWidth="1"/>
    <col min="4" max="4" width="19.425781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278</v>
      </c>
      <c r="B2" s="2" t="s">
        <v>18</v>
      </c>
      <c r="C2" s="2" t="s">
        <v>19</v>
      </c>
    </row>
    <row r="3" spans="1:4" x14ac:dyDescent="0.25">
      <c r="A3" s="2" t="s">
        <v>279</v>
      </c>
      <c r="B3" s="2" t="s">
        <v>374</v>
      </c>
      <c r="C3" s="2" t="s">
        <v>375</v>
      </c>
    </row>
    <row r="4" spans="1:4" x14ac:dyDescent="0.25">
      <c r="A4" s="2" t="s">
        <v>280</v>
      </c>
      <c r="B4" s="2" t="s">
        <v>374</v>
      </c>
    </row>
    <row r="5" spans="1:4" x14ac:dyDescent="0.25">
      <c r="A5" s="4" t="s">
        <v>281</v>
      </c>
      <c r="B5" s="2" t="s">
        <v>370</v>
      </c>
      <c r="C5" s="2" t="s">
        <v>375</v>
      </c>
    </row>
    <row r="6" spans="1:4" x14ac:dyDescent="0.25">
      <c r="A6" s="4" t="s">
        <v>282</v>
      </c>
      <c r="B6" s="2" t="s">
        <v>370</v>
      </c>
    </row>
    <row r="7" spans="1:4" x14ac:dyDescent="0.25">
      <c r="A7" s="4" t="s">
        <v>283</v>
      </c>
      <c r="B7" s="2" t="s">
        <v>371</v>
      </c>
      <c r="C7" s="2" t="s">
        <v>375</v>
      </c>
    </row>
    <row r="8" spans="1:4" x14ac:dyDescent="0.25">
      <c r="A8" s="4" t="s">
        <v>284</v>
      </c>
      <c r="B8" s="2" t="s">
        <v>374</v>
      </c>
    </row>
    <row r="9" spans="1:4" x14ac:dyDescent="0.25">
      <c r="A9" s="4" t="s">
        <v>72</v>
      </c>
      <c r="B9" s="2" t="s">
        <v>374</v>
      </c>
    </row>
    <row r="10" spans="1:4" x14ac:dyDescent="0.25">
      <c r="A10" s="4" t="s">
        <v>73</v>
      </c>
      <c r="B10" s="2" t="s">
        <v>374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D6"/>
  <sheetViews>
    <sheetView workbookViewId="0">
      <selection activeCell="D6" sqref="D6"/>
    </sheetView>
  </sheetViews>
  <sheetFormatPr defaultRowHeight="15" x14ac:dyDescent="0.25"/>
  <cols>
    <col min="1" max="1" width="28.5703125" style="2" bestFit="1" customWidth="1"/>
    <col min="2" max="2" width="14.5703125" style="2" customWidth="1"/>
    <col min="3" max="3" width="20.5703125" style="2" customWidth="1"/>
    <col min="4" max="4" width="28.710937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165</v>
      </c>
      <c r="B2" s="2" t="s">
        <v>18</v>
      </c>
      <c r="C2" s="2" t="s">
        <v>19</v>
      </c>
    </row>
    <row r="3" spans="1:4" x14ac:dyDescent="0.25">
      <c r="A3" s="2" t="s">
        <v>163</v>
      </c>
      <c r="B3" s="2" t="s">
        <v>18</v>
      </c>
      <c r="C3" s="2" t="s">
        <v>25</v>
      </c>
      <c r="D3" s="2" t="s">
        <v>375</v>
      </c>
    </row>
    <row r="4" spans="1:4" x14ac:dyDescent="0.25">
      <c r="A4" s="2" t="s">
        <v>166</v>
      </c>
      <c r="B4" s="2" t="s">
        <v>408</v>
      </c>
      <c r="D4" s="2" t="s">
        <v>375</v>
      </c>
    </row>
    <row r="5" spans="1:4" x14ac:dyDescent="0.25">
      <c r="A5" s="2" t="s">
        <v>167</v>
      </c>
      <c r="B5" s="2" t="s">
        <v>382</v>
      </c>
      <c r="D5" s="2" t="s">
        <v>375</v>
      </c>
    </row>
    <row r="6" spans="1:4" x14ac:dyDescent="0.25">
      <c r="A6" s="2" t="s">
        <v>168</v>
      </c>
      <c r="B6" s="2" t="s">
        <v>397</v>
      </c>
      <c r="D6" s="2" t="s">
        <v>375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D3"/>
  <sheetViews>
    <sheetView workbookViewId="0">
      <selection activeCell="B3" sqref="B3"/>
    </sheetView>
  </sheetViews>
  <sheetFormatPr defaultRowHeight="15" x14ac:dyDescent="0.25"/>
  <cols>
    <col min="1" max="1" width="28.42578125" style="2" customWidth="1"/>
    <col min="2" max="2" width="22.7109375" style="2" customWidth="1"/>
    <col min="3" max="3" width="18" style="2" customWidth="1"/>
    <col min="4" max="4" width="10.570312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75" x14ac:dyDescent="0.25">
      <c r="A2" s="2" t="s">
        <v>163</v>
      </c>
      <c r="B2" s="2" t="s">
        <v>18</v>
      </c>
      <c r="C2" s="2" t="s">
        <v>19</v>
      </c>
      <c r="D2" s="3" t="s">
        <v>179</v>
      </c>
    </row>
    <row r="3" spans="1:4" x14ac:dyDescent="0.25">
      <c r="A3" s="2" t="s">
        <v>164</v>
      </c>
      <c r="B3" s="2" t="s">
        <v>374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3"/>
  <sheetViews>
    <sheetView workbookViewId="0">
      <selection activeCell="B3" sqref="B3"/>
    </sheetView>
  </sheetViews>
  <sheetFormatPr defaultRowHeight="15" x14ac:dyDescent="0.25"/>
  <cols>
    <col min="1" max="1" width="17.5703125" style="2" customWidth="1"/>
    <col min="2" max="2" width="17.140625" style="2" customWidth="1"/>
    <col min="3" max="3" width="16" style="2" customWidth="1"/>
    <col min="4" max="4" width="18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50" x14ac:dyDescent="0.25">
      <c r="A2" s="2" t="s">
        <v>180</v>
      </c>
      <c r="B2" s="2" t="s">
        <v>18</v>
      </c>
      <c r="C2" s="2" t="s">
        <v>19</v>
      </c>
      <c r="D2" s="3" t="s">
        <v>345</v>
      </c>
    </row>
    <row r="3" spans="1:4" x14ac:dyDescent="0.25">
      <c r="A3" s="2" t="s">
        <v>181</v>
      </c>
      <c r="B3" s="2" t="s">
        <v>374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D7"/>
  <sheetViews>
    <sheetView workbookViewId="0">
      <selection activeCell="B7" sqref="B7"/>
    </sheetView>
  </sheetViews>
  <sheetFormatPr defaultRowHeight="15" x14ac:dyDescent="0.25"/>
  <cols>
    <col min="1" max="1" width="22.5703125" style="2" bestFit="1" customWidth="1"/>
    <col min="2" max="2" width="16.140625" style="2" customWidth="1"/>
    <col min="3" max="3" width="22.5703125" style="2" bestFit="1" customWidth="1"/>
    <col min="4" max="4" width="21.1406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8" t="s">
        <v>180</v>
      </c>
      <c r="B2" s="8" t="s">
        <v>18</v>
      </c>
      <c r="C2" s="8" t="s">
        <v>342</v>
      </c>
      <c r="D2" s="1"/>
    </row>
    <row r="3" spans="1:4" x14ac:dyDescent="0.25">
      <c r="A3" s="2" t="s">
        <v>4</v>
      </c>
      <c r="B3" s="2" t="s">
        <v>18</v>
      </c>
      <c r="C3" s="2" t="s">
        <v>343</v>
      </c>
    </row>
    <row r="4" spans="1:4" x14ac:dyDescent="0.25">
      <c r="A4" s="2" t="s">
        <v>182</v>
      </c>
      <c r="B4" s="2" t="s">
        <v>397</v>
      </c>
    </row>
    <row r="5" spans="1:4" x14ac:dyDescent="0.25">
      <c r="A5" s="2" t="s">
        <v>183</v>
      </c>
      <c r="B5" s="2" t="s">
        <v>397</v>
      </c>
      <c r="D5" s="2" t="s">
        <v>110</v>
      </c>
    </row>
    <row r="6" spans="1:4" x14ac:dyDescent="0.25">
      <c r="A6" s="2" t="s">
        <v>184</v>
      </c>
      <c r="B6" s="2" t="s">
        <v>408</v>
      </c>
    </row>
    <row r="7" spans="1:4" x14ac:dyDescent="0.25">
      <c r="A7" s="2" t="s">
        <v>344</v>
      </c>
      <c r="B7" s="2" t="s">
        <v>382</v>
      </c>
    </row>
  </sheetData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D12"/>
  <sheetViews>
    <sheetView workbookViewId="0">
      <selection activeCell="B3" sqref="B3:B12"/>
    </sheetView>
  </sheetViews>
  <sheetFormatPr defaultRowHeight="15" x14ac:dyDescent="0.25"/>
  <cols>
    <col min="1" max="1" width="19.42578125" style="2" bestFit="1" customWidth="1"/>
    <col min="2" max="2" width="20.42578125" style="2" customWidth="1"/>
    <col min="3" max="3" width="16.5703125" style="2" customWidth="1"/>
    <col min="4" max="4" width="31.2851562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185</v>
      </c>
      <c r="B2" s="2" t="s">
        <v>18</v>
      </c>
      <c r="C2" s="2" t="s">
        <v>19</v>
      </c>
      <c r="D2" s="2" t="s">
        <v>188</v>
      </c>
    </row>
    <row r="3" spans="1:4" x14ac:dyDescent="0.25">
      <c r="A3" s="2" t="s">
        <v>186</v>
      </c>
      <c r="B3" s="2" t="s">
        <v>374</v>
      </c>
    </row>
    <row r="4" spans="1:4" x14ac:dyDescent="0.25">
      <c r="A4" s="2" t="s">
        <v>187</v>
      </c>
      <c r="B4" s="2" t="s">
        <v>374</v>
      </c>
    </row>
    <row r="5" spans="1:4" x14ac:dyDescent="0.25">
      <c r="A5" s="2" t="s">
        <v>189</v>
      </c>
      <c r="B5" s="2" t="s">
        <v>374</v>
      </c>
    </row>
    <row r="6" spans="1:4" x14ac:dyDescent="0.25">
      <c r="A6" s="2" t="s">
        <v>190</v>
      </c>
      <c r="B6" s="2" t="s">
        <v>374</v>
      </c>
    </row>
    <row r="7" spans="1:4" x14ac:dyDescent="0.25">
      <c r="A7" s="2" t="s">
        <v>191</v>
      </c>
      <c r="B7" s="2" t="s">
        <v>374</v>
      </c>
    </row>
    <row r="8" spans="1:4" x14ac:dyDescent="0.25">
      <c r="A8" s="2" t="s">
        <v>192</v>
      </c>
      <c r="B8" s="2" t="s">
        <v>376</v>
      </c>
    </row>
    <row r="9" spans="1:4" x14ac:dyDescent="0.25">
      <c r="A9" s="2" t="s">
        <v>193</v>
      </c>
      <c r="B9" s="2" t="s">
        <v>367</v>
      </c>
    </row>
    <row r="10" spans="1:4" x14ac:dyDescent="0.25">
      <c r="A10" s="2" t="s">
        <v>194</v>
      </c>
      <c r="B10" s="2" t="s">
        <v>370</v>
      </c>
    </row>
    <row r="11" spans="1:4" x14ac:dyDescent="0.25">
      <c r="A11" s="2" t="s">
        <v>195</v>
      </c>
      <c r="B11" s="2" t="s">
        <v>370</v>
      </c>
    </row>
    <row r="12" spans="1:4" x14ac:dyDescent="0.25">
      <c r="A12" s="2" t="s">
        <v>196</v>
      </c>
      <c r="B12" s="2" t="s">
        <v>371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D11"/>
  <sheetViews>
    <sheetView workbookViewId="0">
      <selection activeCell="C11" sqref="C11"/>
    </sheetView>
  </sheetViews>
  <sheetFormatPr defaultRowHeight="15" x14ac:dyDescent="0.25"/>
  <cols>
    <col min="1" max="1" width="17.28515625" style="2" customWidth="1"/>
    <col min="2" max="2" width="17.42578125" style="2" customWidth="1"/>
    <col min="3" max="3" width="14.5703125" style="2" customWidth="1"/>
    <col min="4" max="4" width="16.8554687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197</v>
      </c>
      <c r="B2" s="2" t="s">
        <v>18</v>
      </c>
      <c r="C2" s="2" t="s">
        <v>19</v>
      </c>
    </row>
    <row r="3" spans="1:4" x14ac:dyDescent="0.25">
      <c r="A3" s="2" t="s">
        <v>198</v>
      </c>
      <c r="B3" s="2" t="s">
        <v>376</v>
      </c>
    </row>
    <row r="4" spans="1:4" x14ac:dyDescent="0.25">
      <c r="A4" s="2" t="s">
        <v>199</v>
      </c>
      <c r="B4" s="2" t="s">
        <v>374</v>
      </c>
      <c r="C4" s="2" t="s">
        <v>375</v>
      </c>
    </row>
    <row r="5" spans="1:4" x14ac:dyDescent="0.25">
      <c r="A5" s="2" t="s">
        <v>200</v>
      </c>
      <c r="B5" s="2" t="s">
        <v>374</v>
      </c>
      <c r="C5" s="2" t="s">
        <v>375</v>
      </c>
    </row>
    <row r="6" spans="1:4" x14ac:dyDescent="0.25">
      <c r="A6" s="2" t="s">
        <v>201</v>
      </c>
      <c r="B6" s="2" t="s">
        <v>374</v>
      </c>
    </row>
    <row r="7" spans="1:4" x14ac:dyDescent="0.25">
      <c r="A7" s="2" t="s">
        <v>202</v>
      </c>
      <c r="B7" s="2" t="s">
        <v>374</v>
      </c>
      <c r="C7" s="2" t="s">
        <v>375</v>
      </c>
    </row>
    <row r="8" spans="1:4" x14ac:dyDescent="0.25">
      <c r="A8" s="2" t="s">
        <v>203</v>
      </c>
      <c r="B8" s="2" t="s">
        <v>374</v>
      </c>
    </row>
    <row r="9" spans="1:4" x14ac:dyDescent="0.25">
      <c r="A9" s="2" t="s">
        <v>204</v>
      </c>
      <c r="B9" s="2" t="s">
        <v>374</v>
      </c>
      <c r="C9" s="2" t="s">
        <v>375</v>
      </c>
    </row>
    <row r="10" spans="1:4" x14ac:dyDescent="0.25">
      <c r="A10" s="2" t="s">
        <v>205</v>
      </c>
      <c r="B10" s="2" t="s">
        <v>376</v>
      </c>
      <c r="C10" s="2" t="s">
        <v>375</v>
      </c>
    </row>
    <row r="11" spans="1:4" x14ac:dyDescent="0.25">
      <c r="A11" s="2" t="s">
        <v>206</v>
      </c>
      <c r="B11" s="2" t="s">
        <v>367</v>
      </c>
      <c r="C11" s="2" t="s">
        <v>375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D9"/>
  <sheetViews>
    <sheetView workbookViewId="0">
      <selection activeCell="C9" sqref="C9"/>
    </sheetView>
  </sheetViews>
  <sheetFormatPr defaultRowHeight="15" x14ac:dyDescent="0.25"/>
  <cols>
    <col min="1" max="1" width="17.140625" style="2" customWidth="1"/>
    <col min="2" max="2" width="17.28515625" style="2" customWidth="1"/>
    <col min="3" max="3" width="22.42578125" style="2" customWidth="1"/>
    <col min="4" max="4" width="15.710937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207</v>
      </c>
      <c r="B2" s="2" t="s">
        <v>18</v>
      </c>
      <c r="C2" s="2" t="s">
        <v>19</v>
      </c>
    </row>
    <row r="3" spans="1:4" x14ac:dyDescent="0.25">
      <c r="A3" s="2" t="s">
        <v>208</v>
      </c>
      <c r="B3" s="2" t="s">
        <v>374</v>
      </c>
      <c r="C3" s="2" t="s">
        <v>375</v>
      </c>
    </row>
    <row r="4" spans="1:4" x14ac:dyDescent="0.25">
      <c r="A4" s="2" t="s">
        <v>209</v>
      </c>
      <c r="B4" s="2" t="s">
        <v>374</v>
      </c>
      <c r="C4" s="2" t="s">
        <v>375</v>
      </c>
    </row>
    <row r="5" spans="1:4" x14ac:dyDescent="0.25">
      <c r="A5" s="2" t="s">
        <v>210</v>
      </c>
      <c r="B5" s="2" t="s">
        <v>374</v>
      </c>
      <c r="C5" s="2" t="s">
        <v>375</v>
      </c>
    </row>
    <row r="6" spans="1:4" x14ac:dyDescent="0.25">
      <c r="A6" s="2" t="s">
        <v>211</v>
      </c>
      <c r="B6" s="2" t="s">
        <v>374</v>
      </c>
    </row>
    <row r="7" spans="1:4" x14ac:dyDescent="0.25">
      <c r="A7" s="2" t="s">
        <v>212</v>
      </c>
      <c r="B7" s="2" t="s">
        <v>374</v>
      </c>
      <c r="C7" s="2" t="s">
        <v>375</v>
      </c>
    </row>
    <row r="8" spans="1:4" x14ac:dyDescent="0.25">
      <c r="A8" s="2" t="s">
        <v>213</v>
      </c>
      <c r="B8" s="2" t="s">
        <v>376</v>
      </c>
      <c r="C8" s="2" t="s">
        <v>375</v>
      </c>
    </row>
    <row r="9" spans="1:4" x14ac:dyDescent="0.25">
      <c r="A9" s="2" t="s">
        <v>214</v>
      </c>
      <c r="B9" s="2" t="s">
        <v>367</v>
      </c>
      <c r="C9" s="2" t="s">
        <v>375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D3"/>
  <sheetViews>
    <sheetView workbookViewId="0">
      <selection activeCell="B3" sqref="B3"/>
    </sheetView>
  </sheetViews>
  <sheetFormatPr defaultRowHeight="15" x14ac:dyDescent="0.25"/>
  <cols>
    <col min="1" max="1" width="23.42578125" style="2" customWidth="1"/>
    <col min="2" max="2" width="22" style="2" customWidth="1"/>
    <col min="3" max="3" width="18.42578125" style="2" customWidth="1"/>
    <col min="4" max="4" width="22.8554687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90" x14ac:dyDescent="0.25">
      <c r="A2" s="2" t="s">
        <v>215</v>
      </c>
      <c r="B2" s="2" t="s">
        <v>18</v>
      </c>
      <c r="D2" s="3" t="s">
        <v>217</v>
      </c>
    </row>
    <row r="3" spans="1:4" x14ac:dyDescent="0.25">
      <c r="A3" s="2" t="s">
        <v>216</v>
      </c>
      <c r="B3" s="2" t="s">
        <v>376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D15"/>
  <sheetViews>
    <sheetView workbookViewId="0">
      <selection activeCell="C13" sqref="C13"/>
    </sheetView>
  </sheetViews>
  <sheetFormatPr defaultRowHeight="15" x14ac:dyDescent="0.25"/>
  <cols>
    <col min="1" max="1" width="26" style="2" bestFit="1" customWidth="1"/>
    <col min="2" max="2" width="14.140625" style="2" bestFit="1" customWidth="1"/>
    <col min="3" max="3" width="25.7109375" style="2" customWidth="1"/>
    <col min="4" max="4" width="58.4257812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221</v>
      </c>
      <c r="B2" s="2" t="s">
        <v>18</v>
      </c>
      <c r="C2" s="2" t="s">
        <v>19</v>
      </c>
    </row>
    <row r="3" spans="1:4" x14ac:dyDescent="0.25">
      <c r="A3" s="2" t="s">
        <v>4</v>
      </c>
      <c r="B3" s="2" t="s">
        <v>18</v>
      </c>
      <c r="C3" s="2" t="s">
        <v>418</v>
      </c>
    </row>
    <row r="4" spans="1:4" x14ac:dyDescent="0.25">
      <c r="A4" s="2" t="s">
        <v>224</v>
      </c>
      <c r="B4" s="2" t="s">
        <v>18</v>
      </c>
      <c r="C4" s="2" t="s">
        <v>421</v>
      </c>
      <c r="D4" s="2" t="s">
        <v>223</v>
      </c>
    </row>
    <row r="5" spans="1:4" x14ac:dyDescent="0.25">
      <c r="A5" s="2" t="s">
        <v>225</v>
      </c>
      <c r="B5" s="2" t="s">
        <v>18</v>
      </c>
      <c r="C5" s="2" t="s">
        <v>421</v>
      </c>
      <c r="D5" s="2" t="s">
        <v>226</v>
      </c>
    </row>
    <row r="6" spans="1:4" x14ac:dyDescent="0.25">
      <c r="A6" s="2" t="s">
        <v>222</v>
      </c>
      <c r="B6" s="2" t="s">
        <v>18</v>
      </c>
      <c r="C6" s="2" t="s">
        <v>421</v>
      </c>
    </row>
    <row r="7" spans="1:4" x14ac:dyDescent="0.25">
      <c r="A7" s="2" t="s">
        <v>215</v>
      </c>
      <c r="B7" s="2" t="s">
        <v>18</v>
      </c>
      <c r="C7" s="2" t="s">
        <v>227</v>
      </c>
    </row>
    <row r="8" spans="1:4" x14ac:dyDescent="0.25">
      <c r="A8" s="2" t="s">
        <v>228</v>
      </c>
      <c r="B8" s="2" t="s">
        <v>374</v>
      </c>
      <c r="D8" s="2" t="s">
        <v>229</v>
      </c>
    </row>
    <row r="9" spans="1:4" x14ac:dyDescent="0.25">
      <c r="A9" s="2" t="s">
        <v>207</v>
      </c>
      <c r="B9" s="2" t="s">
        <v>18</v>
      </c>
      <c r="C9" s="2" t="s">
        <v>419</v>
      </c>
    </row>
    <row r="10" spans="1:4" x14ac:dyDescent="0.25">
      <c r="A10" s="2" t="s">
        <v>197</v>
      </c>
      <c r="B10" s="2" t="s">
        <v>18</v>
      </c>
      <c r="C10" s="2" t="s">
        <v>420</v>
      </c>
    </row>
    <row r="11" spans="1:4" x14ac:dyDescent="0.25">
      <c r="A11" s="2" t="s">
        <v>233</v>
      </c>
      <c r="B11" s="2" t="s">
        <v>408</v>
      </c>
    </row>
    <row r="12" spans="1:4" x14ac:dyDescent="0.25">
      <c r="A12" s="2" t="s">
        <v>234</v>
      </c>
      <c r="B12" s="2" t="s">
        <v>397</v>
      </c>
      <c r="C12" s="2" t="s">
        <v>375</v>
      </c>
    </row>
    <row r="13" spans="1:4" x14ac:dyDescent="0.25">
      <c r="A13" s="2" t="s">
        <v>235</v>
      </c>
      <c r="B13" s="2" t="s">
        <v>397</v>
      </c>
      <c r="C13" s="2" t="s">
        <v>375</v>
      </c>
    </row>
    <row r="14" spans="1:4" x14ac:dyDescent="0.25">
      <c r="A14" s="2" t="s">
        <v>422</v>
      </c>
      <c r="B14" s="2" t="s">
        <v>18</v>
      </c>
      <c r="C14" s="2" t="s">
        <v>423</v>
      </c>
    </row>
    <row r="15" spans="1:4" x14ac:dyDescent="0.25">
      <c r="A15" s="2" t="s">
        <v>236</v>
      </c>
      <c r="B15" s="2" t="s">
        <v>18</v>
      </c>
      <c r="C15" s="2" t="s">
        <v>239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D3"/>
  <sheetViews>
    <sheetView workbookViewId="0">
      <selection activeCell="C3" sqref="C3"/>
    </sheetView>
  </sheetViews>
  <sheetFormatPr defaultRowHeight="15" x14ac:dyDescent="0.25"/>
  <cols>
    <col min="1" max="1" width="28.42578125" style="2" customWidth="1"/>
    <col min="2" max="2" width="18.5703125" style="2" customWidth="1"/>
    <col min="3" max="3" width="16.28515625" style="2" customWidth="1"/>
    <col min="4" max="4" width="21.57031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60" x14ac:dyDescent="0.25">
      <c r="A2" s="2" t="s">
        <v>230</v>
      </c>
      <c r="B2" s="2" t="s">
        <v>18</v>
      </c>
      <c r="C2" s="2" t="s">
        <v>19</v>
      </c>
      <c r="D2" s="3" t="s">
        <v>232</v>
      </c>
    </row>
    <row r="3" spans="1:4" x14ac:dyDescent="0.25">
      <c r="A3" s="2" t="s">
        <v>231</v>
      </c>
      <c r="B3" s="2" t="s">
        <v>376</v>
      </c>
      <c r="C3" s="2" t="s">
        <v>375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D3"/>
  <sheetViews>
    <sheetView workbookViewId="0">
      <selection activeCell="B3" sqref="B3"/>
    </sheetView>
  </sheetViews>
  <sheetFormatPr defaultRowHeight="15" x14ac:dyDescent="0.25"/>
  <cols>
    <col min="1" max="1" width="22.7109375" style="2" bestFit="1" customWidth="1"/>
    <col min="2" max="2" width="19" style="2" customWidth="1"/>
    <col min="3" max="3" width="20.28515625" style="2" customWidth="1"/>
    <col min="4" max="4" width="24.57031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20" x14ac:dyDescent="0.25">
      <c r="A2" s="2" t="s">
        <v>218</v>
      </c>
      <c r="B2" s="2" t="s">
        <v>18</v>
      </c>
      <c r="C2" s="2" t="s">
        <v>19</v>
      </c>
      <c r="D2" s="3" t="s">
        <v>220</v>
      </c>
    </row>
    <row r="3" spans="1:4" x14ac:dyDescent="0.25">
      <c r="A3" s="2" t="s">
        <v>219</v>
      </c>
      <c r="B3" s="2" t="s">
        <v>376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D3"/>
  <sheetViews>
    <sheetView workbookViewId="0">
      <selection activeCell="E1" sqref="E1:E1048576"/>
    </sheetView>
  </sheetViews>
  <sheetFormatPr defaultRowHeight="15" x14ac:dyDescent="0.25"/>
  <cols>
    <col min="1" max="1" width="19.140625" style="2" bestFit="1" customWidth="1"/>
    <col min="2" max="2" width="13.85546875" style="2" customWidth="1"/>
    <col min="3" max="3" width="26.28515625" style="2" bestFit="1" customWidth="1"/>
    <col min="4" max="4" width="85.710937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221</v>
      </c>
      <c r="B2" s="2" t="s">
        <v>18</v>
      </c>
      <c r="C2" s="2" t="s">
        <v>332</v>
      </c>
      <c r="D2" s="2" t="s">
        <v>424</v>
      </c>
    </row>
    <row r="3" spans="1:4" x14ac:dyDescent="0.25">
      <c r="A3" s="2" t="s">
        <v>230</v>
      </c>
      <c r="B3" s="2" t="s">
        <v>18</v>
      </c>
      <c r="C3" s="2" t="s">
        <v>333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D3"/>
  <sheetViews>
    <sheetView workbookViewId="0">
      <selection activeCell="B4" sqref="B4"/>
    </sheetView>
  </sheetViews>
  <sheetFormatPr defaultRowHeight="15" x14ac:dyDescent="0.25"/>
  <cols>
    <col min="1" max="1" width="21.85546875" style="2" customWidth="1"/>
    <col min="2" max="2" width="24.42578125" style="2" customWidth="1"/>
    <col min="3" max="3" width="16.7109375" style="2" customWidth="1"/>
    <col min="4" max="4" width="30.285156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45" x14ac:dyDescent="0.25">
      <c r="A2" s="2" t="s">
        <v>236</v>
      </c>
      <c r="B2" s="2" t="s">
        <v>18</v>
      </c>
      <c r="C2" s="2" t="s">
        <v>19</v>
      </c>
      <c r="D2" s="3" t="s">
        <v>238</v>
      </c>
    </row>
    <row r="3" spans="1:4" x14ac:dyDescent="0.25">
      <c r="A3" s="2" t="s">
        <v>237</v>
      </c>
      <c r="B3" s="2" t="s">
        <v>374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D3"/>
  <sheetViews>
    <sheetView workbookViewId="0">
      <selection activeCell="B3" sqref="B3"/>
    </sheetView>
  </sheetViews>
  <sheetFormatPr defaultRowHeight="15" x14ac:dyDescent="0.25"/>
  <cols>
    <col min="1" max="1" width="16" style="2" customWidth="1"/>
    <col min="2" max="2" width="16.5703125" style="2" customWidth="1"/>
    <col min="3" max="3" width="20" style="2" bestFit="1" customWidth="1"/>
    <col min="4" max="4" width="43.570312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53</v>
      </c>
      <c r="B2" s="2" t="s">
        <v>18</v>
      </c>
      <c r="C2" s="2" t="s">
        <v>266</v>
      </c>
    </row>
    <row r="3" spans="1:4" x14ac:dyDescent="0.25">
      <c r="A3" s="2" t="s">
        <v>77</v>
      </c>
      <c r="B3" s="2" t="s">
        <v>18</v>
      </c>
      <c r="C3" s="2" t="s">
        <v>267</v>
      </c>
      <c r="D3" s="2" t="s">
        <v>268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D17"/>
  <sheetViews>
    <sheetView workbookViewId="0">
      <selection activeCell="D17" sqref="D17"/>
    </sheetView>
  </sheetViews>
  <sheetFormatPr defaultRowHeight="15" x14ac:dyDescent="0.25"/>
  <cols>
    <col min="1" max="1" width="25.5703125" style="2" bestFit="1" customWidth="1"/>
    <col min="2" max="2" width="20" style="2" customWidth="1"/>
    <col min="3" max="3" width="26.28515625" style="2" bestFit="1" customWidth="1"/>
    <col min="4" max="4" width="23.710937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4</v>
      </c>
      <c r="B2" s="2" t="s">
        <v>18</v>
      </c>
      <c r="C2" s="2" t="s">
        <v>241</v>
      </c>
    </row>
    <row r="3" spans="1:4" x14ac:dyDescent="0.25">
      <c r="A3" s="2" t="s">
        <v>102</v>
      </c>
      <c r="B3" s="2" t="s">
        <v>18</v>
      </c>
      <c r="C3" s="2" t="s">
        <v>242</v>
      </c>
    </row>
    <row r="4" spans="1:4" x14ac:dyDescent="0.25">
      <c r="A4" s="2" t="s">
        <v>243</v>
      </c>
      <c r="B4" s="2" t="s">
        <v>404</v>
      </c>
    </row>
    <row r="5" spans="1:4" x14ac:dyDescent="0.25">
      <c r="A5" s="2" t="s">
        <v>244</v>
      </c>
      <c r="B5" s="2" t="s">
        <v>404</v>
      </c>
    </row>
    <row r="6" spans="1:4" x14ac:dyDescent="0.25">
      <c r="A6" s="2" t="s">
        <v>245</v>
      </c>
      <c r="B6" s="2" t="s">
        <v>404</v>
      </c>
    </row>
    <row r="7" spans="1:4" x14ac:dyDescent="0.25">
      <c r="A7" s="2" t="s">
        <v>246</v>
      </c>
      <c r="B7" s="2" t="s">
        <v>404</v>
      </c>
      <c r="D7" s="2" t="s">
        <v>247</v>
      </c>
    </row>
    <row r="8" spans="1:4" x14ac:dyDescent="0.25">
      <c r="A8" s="2" t="s">
        <v>248</v>
      </c>
      <c r="B8" s="2" t="s">
        <v>404</v>
      </c>
    </row>
    <row r="9" spans="1:4" x14ac:dyDescent="0.25">
      <c r="A9" s="2" t="s">
        <v>249</v>
      </c>
      <c r="B9" s="2" t="s">
        <v>404</v>
      </c>
    </row>
    <row r="10" spans="1:4" x14ac:dyDescent="0.25">
      <c r="A10" s="2" t="s">
        <v>250</v>
      </c>
      <c r="B10" s="2" t="s">
        <v>404</v>
      </c>
    </row>
    <row r="11" spans="1:4" x14ac:dyDescent="0.25">
      <c r="A11" s="2" t="s">
        <v>251</v>
      </c>
      <c r="B11" s="2" t="s">
        <v>404</v>
      </c>
    </row>
    <row r="12" spans="1:4" x14ac:dyDescent="0.25">
      <c r="A12" s="2" t="s">
        <v>252</v>
      </c>
      <c r="B12" s="2" t="s">
        <v>404</v>
      </c>
    </row>
    <row r="13" spans="1:4" x14ac:dyDescent="0.25">
      <c r="A13" s="2" t="s">
        <v>253</v>
      </c>
      <c r="B13" s="2" t="s">
        <v>404</v>
      </c>
      <c r="D13" s="2" t="s">
        <v>247</v>
      </c>
    </row>
    <row r="14" spans="1:4" x14ac:dyDescent="0.25">
      <c r="A14" s="2" t="s">
        <v>254</v>
      </c>
      <c r="B14" s="2" t="s">
        <v>404</v>
      </c>
      <c r="D14" s="2" t="s">
        <v>247</v>
      </c>
    </row>
    <row r="17" spans="1:4" ht="75" x14ac:dyDescent="0.25">
      <c r="A17" s="5"/>
      <c r="B17" s="5"/>
      <c r="C17" s="5"/>
      <c r="D17" s="6" t="s">
        <v>271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D12"/>
  <sheetViews>
    <sheetView workbookViewId="0"/>
  </sheetViews>
  <sheetFormatPr defaultRowHeight="15" x14ac:dyDescent="0.25"/>
  <cols>
    <col min="1" max="1" width="19.85546875" style="2" bestFit="1" customWidth="1"/>
    <col min="2" max="2" width="22.5703125" style="2" customWidth="1"/>
    <col min="3" max="3" width="20.42578125" style="2" customWidth="1"/>
    <col min="4" max="4" width="55.2851562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45" x14ac:dyDescent="0.25">
      <c r="A2" s="2" t="s">
        <v>15</v>
      </c>
      <c r="B2" s="2" t="s">
        <v>18</v>
      </c>
      <c r="C2" s="2" t="s">
        <v>19</v>
      </c>
      <c r="D2" s="6" t="s">
        <v>305</v>
      </c>
    </row>
    <row r="3" spans="1:4" x14ac:dyDescent="0.25">
      <c r="A3" s="2" t="s">
        <v>296</v>
      </c>
      <c r="B3" s="2" t="s">
        <v>376</v>
      </c>
      <c r="C3" s="2" t="s">
        <v>375</v>
      </c>
    </row>
    <row r="4" spans="1:4" x14ac:dyDescent="0.25">
      <c r="A4" s="2" t="s">
        <v>302</v>
      </c>
      <c r="B4" s="2" t="s">
        <v>425</v>
      </c>
      <c r="C4" s="2" t="s">
        <v>375</v>
      </c>
    </row>
    <row r="5" spans="1:4" x14ac:dyDescent="0.25">
      <c r="A5" s="2" t="s">
        <v>297</v>
      </c>
      <c r="B5" s="2" t="s">
        <v>382</v>
      </c>
      <c r="C5" s="2" t="s">
        <v>375</v>
      </c>
    </row>
    <row r="6" spans="1:4" x14ac:dyDescent="0.25">
      <c r="A6" s="2" t="s">
        <v>298</v>
      </c>
      <c r="B6" s="2" t="s">
        <v>374</v>
      </c>
      <c r="C6" s="2" t="s">
        <v>375</v>
      </c>
    </row>
    <row r="7" spans="1:4" x14ac:dyDescent="0.25">
      <c r="A7" s="2" t="s">
        <v>299</v>
      </c>
      <c r="B7" s="2" t="s">
        <v>374</v>
      </c>
      <c r="C7" s="2" t="s">
        <v>375</v>
      </c>
    </row>
    <row r="8" spans="1:4" x14ac:dyDescent="0.25">
      <c r="A8" s="2" t="s">
        <v>300</v>
      </c>
      <c r="B8" s="2" t="s">
        <v>370</v>
      </c>
      <c r="C8" s="2" t="s">
        <v>375</v>
      </c>
    </row>
    <row r="9" spans="1:4" x14ac:dyDescent="0.25">
      <c r="A9" s="2" t="s">
        <v>301</v>
      </c>
      <c r="B9" s="2" t="s">
        <v>370</v>
      </c>
    </row>
    <row r="10" spans="1:4" x14ac:dyDescent="0.25">
      <c r="A10" s="2" t="s">
        <v>303</v>
      </c>
      <c r="B10" s="2" t="s">
        <v>371</v>
      </c>
      <c r="C10" s="2" t="s">
        <v>375</v>
      </c>
    </row>
    <row r="11" spans="1:4" x14ac:dyDescent="0.25">
      <c r="A11" s="2" t="s">
        <v>53</v>
      </c>
      <c r="B11" s="2" t="s">
        <v>18</v>
      </c>
      <c r="C11" s="2" t="s">
        <v>304</v>
      </c>
    </row>
    <row r="12" spans="1:4" x14ac:dyDescent="0.25">
      <c r="A12" s="2" t="s">
        <v>129</v>
      </c>
      <c r="B12" s="2" t="s">
        <v>18</v>
      </c>
      <c r="C12" s="2" t="s">
        <v>140</v>
      </c>
      <c r="D12" s="2" t="s">
        <v>110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D4"/>
  <sheetViews>
    <sheetView workbookViewId="0">
      <selection activeCell="C3" sqref="C3"/>
    </sheetView>
  </sheetViews>
  <sheetFormatPr defaultRowHeight="15" x14ac:dyDescent="0.25"/>
  <cols>
    <col min="1" max="1" width="29.28515625" style="2" bestFit="1" customWidth="1"/>
    <col min="2" max="2" width="19.28515625" style="2" customWidth="1"/>
    <col min="3" max="3" width="34.42578125" style="2" bestFit="1" customWidth="1"/>
    <col min="4" max="4" width="30.57031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45" x14ac:dyDescent="0.25">
      <c r="A2" s="2" t="s">
        <v>306</v>
      </c>
      <c r="B2" s="2" t="s">
        <v>18</v>
      </c>
      <c r="C2" s="2" t="s">
        <v>19</v>
      </c>
      <c r="D2" s="3" t="s">
        <v>311</v>
      </c>
    </row>
    <row r="3" spans="1:4" x14ac:dyDescent="0.25">
      <c r="A3" s="2" t="s">
        <v>307</v>
      </c>
      <c r="B3" s="2" t="s">
        <v>374</v>
      </c>
      <c r="C3" s="2" t="s">
        <v>375</v>
      </c>
    </row>
    <row r="4" spans="1:4" x14ac:dyDescent="0.25">
      <c r="A4" s="2" t="s">
        <v>308</v>
      </c>
      <c r="B4" s="2" t="s">
        <v>18</v>
      </c>
      <c r="C4" s="2" t="s">
        <v>310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D3"/>
  <sheetViews>
    <sheetView workbookViewId="0">
      <selection activeCell="C3" sqref="C3"/>
    </sheetView>
  </sheetViews>
  <sheetFormatPr defaultRowHeight="15" x14ac:dyDescent="0.25"/>
  <cols>
    <col min="1" max="1" width="32.7109375" style="2" bestFit="1" customWidth="1"/>
    <col min="2" max="2" width="16.28515625" style="2" customWidth="1"/>
    <col min="3" max="3" width="15.140625" style="2" customWidth="1"/>
    <col min="4" max="4" width="41.4257812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75" x14ac:dyDescent="0.25">
      <c r="A2" s="2" t="s">
        <v>308</v>
      </c>
      <c r="B2" s="2" t="s">
        <v>18</v>
      </c>
      <c r="C2" s="2" t="s">
        <v>19</v>
      </c>
      <c r="D2" s="3" t="s">
        <v>312</v>
      </c>
    </row>
    <row r="3" spans="1:4" x14ac:dyDescent="0.25">
      <c r="A3" s="2" t="s">
        <v>309</v>
      </c>
      <c r="B3" s="2" t="s">
        <v>374</v>
      </c>
      <c r="C3" s="2" t="s">
        <v>375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D3"/>
  <sheetViews>
    <sheetView workbookViewId="0">
      <selection activeCell="B3" sqref="B3"/>
    </sheetView>
  </sheetViews>
  <sheetFormatPr defaultRowHeight="15" x14ac:dyDescent="0.25"/>
  <cols>
    <col min="1" max="1" width="22.5703125" style="2" customWidth="1"/>
    <col min="2" max="2" width="18.5703125" style="2" customWidth="1"/>
    <col min="3" max="3" width="30.7109375" style="2" bestFit="1" customWidth="1"/>
    <col min="4" max="4" width="23.710937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15</v>
      </c>
      <c r="B2" s="2" t="s">
        <v>18</v>
      </c>
      <c r="C2" s="2" t="s">
        <v>313</v>
      </c>
    </row>
    <row r="3" spans="1:4" x14ac:dyDescent="0.25">
      <c r="A3" s="2" t="s">
        <v>306</v>
      </c>
      <c r="B3" s="2" t="s">
        <v>18</v>
      </c>
      <c r="C3" s="2" t="s">
        <v>314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D4"/>
  <sheetViews>
    <sheetView workbookViewId="0">
      <selection activeCell="E1" sqref="E1:E1048576"/>
    </sheetView>
  </sheetViews>
  <sheetFormatPr defaultRowHeight="15" x14ac:dyDescent="0.25"/>
  <cols>
    <col min="1" max="1" width="30.28515625" style="2" bestFit="1" customWidth="1"/>
    <col min="2" max="2" width="14.140625" style="2" bestFit="1" customWidth="1"/>
    <col min="3" max="3" width="21.7109375" style="2" bestFit="1" customWidth="1"/>
    <col min="4" max="4" width="46.7109375" style="2" bestFit="1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346</v>
      </c>
      <c r="B2" s="2" t="s">
        <v>18</v>
      </c>
      <c r="C2" s="2" t="s">
        <v>19</v>
      </c>
      <c r="D2" s="2" t="s">
        <v>426</v>
      </c>
    </row>
    <row r="3" spans="1:4" x14ac:dyDescent="0.25">
      <c r="A3" s="2" t="s">
        <v>347</v>
      </c>
      <c r="B3" s="2" t="s">
        <v>374</v>
      </c>
    </row>
    <row r="4" spans="1:4" x14ac:dyDescent="0.25">
      <c r="A4" s="2" t="s">
        <v>348</v>
      </c>
      <c r="B4" s="2" t="s">
        <v>18</v>
      </c>
      <c r="C4" s="2" t="s">
        <v>349</v>
      </c>
      <c r="D4" s="2" t="s">
        <v>350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D6"/>
  <sheetViews>
    <sheetView workbookViewId="0"/>
  </sheetViews>
  <sheetFormatPr defaultRowHeight="15" x14ac:dyDescent="0.25"/>
  <cols>
    <col min="1" max="1" width="23.140625" style="2" bestFit="1" customWidth="1"/>
    <col min="2" max="2" width="14.5703125" style="2" customWidth="1"/>
    <col min="3" max="3" width="18.7109375" style="2" customWidth="1"/>
    <col min="4" max="4" width="19.7109375" style="2" customWidth="1"/>
    <col min="5" max="16384" width="9.140625" style="2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2" t="s">
        <v>4</v>
      </c>
      <c r="B2" s="2" t="s">
        <v>18</v>
      </c>
      <c r="C2" s="2" t="s">
        <v>19</v>
      </c>
    </row>
    <row r="3" spans="1:4" x14ac:dyDescent="0.25">
      <c r="A3" s="2" t="s">
        <v>346</v>
      </c>
      <c r="B3" s="2" t="s">
        <v>18</v>
      </c>
      <c r="C3" s="2" t="s">
        <v>19</v>
      </c>
    </row>
    <row r="4" spans="1:4" ht="75" x14ac:dyDescent="0.25">
      <c r="A4" s="2" t="s">
        <v>353</v>
      </c>
      <c r="B4" s="2" t="s">
        <v>382</v>
      </c>
      <c r="D4" s="3" t="s">
        <v>354</v>
      </c>
    </row>
    <row r="5" spans="1:4" x14ac:dyDescent="0.25">
      <c r="A5" s="2" t="s">
        <v>351</v>
      </c>
      <c r="B5" s="2" t="s">
        <v>397</v>
      </c>
      <c r="D5" s="2" t="s">
        <v>110</v>
      </c>
    </row>
    <row r="6" spans="1:4" x14ac:dyDescent="0.25">
      <c r="A6" s="2" t="s">
        <v>352</v>
      </c>
      <c r="B6" s="2" t="s">
        <v>374</v>
      </c>
      <c r="D6" s="2" t="s">
        <v>110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B10"/>
  <sheetViews>
    <sheetView workbookViewId="0">
      <selection activeCell="B3" sqref="B3"/>
    </sheetView>
  </sheetViews>
  <sheetFormatPr defaultRowHeight="15" x14ac:dyDescent="0.25"/>
  <cols>
    <col min="1" max="1" width="9.140625" style="2"/>
    <col min="2" max="2" width="154.7109375" style="2" bestFit="1" customWidth="1"/>
    <col min="3" max="16384" width="9.140625" style="2"/>
  </cols>
  <sheetData>
    <row r="1" spans="1:2" x14ac:dyDescent="0.25">
      <c r="A1" s="1" t="s">
        <v>355</v>
      </c>
      <c r="B1" s="1" t="s">
        <v>356</v>
      </c>
    </row>
    <row r="2" spans="1:2" x14ac:dyDescent="0.25">
      <c r="A2" s="2">
        <v>1</v>
      </c>
      <c r="B2" s="2" t="s">
        <v>357</v>
      </c>
    </row>
    <row r="3" spans="1:2" x14ac:dyDescent="0.25">
      <c r="A3" s="2">
        <v>2</v>
      </c>
      <c r="B3" s="2" t="s">
        <v>358</v>
      </c>
    </row>
    <row r="4" spans="1:2" x14ac:dyDescent="0.25">
      <c r="A4" s="2">
        <v>3</v>
      </c>
      <c r="B4" s="2" t="s">
        <v>359</v>
      </c>
    </row>
    <row r="5" spans="1:2" x14ac:dyDescent="0.25">
      <c r="A5" s="2">
        <v>4</v>
      </c>
      <c r="B5" s="2" t="s">
        <v>360</v>
      </c>
    </row>
    <row r="6" spans="1:2" x14ac:dyDescent="0.25">
      <c r="A6" s="2">
        <v>5</v>
      </c>
      <c r="B6" s="2" t="s">
        <v>361</v>
      </c>
    </row>
    <row r="7" spans="1:2" x14ac:dyDescent="0.25">
      <c r="A7" s="2">
        <v>6</v>
      </c>
      <c r="B7" s="2" t="s">
        <v>364</v>
      </c>
    </row>
    <row r="8" spans="1:2" x14ac:dyDescent="0.25">
      <c r="A8" s="2">
        <v>7</v>
      </c>
      <c r="B8" s="2" t="s">
        <v>362</v>
      </c>
    </row>
    <row r="9" spans="1:2" x14ac:dyDescent="0.25">
      <c r="A9" s="2">
        <v>8</v>
      </c>
      <c r="B9" s="2" t="s">
        <v>363</v>
      </c>
    </row>
    <row r="10" spans="1:2" x14ac:dyDescent="0.25">
      <c r="A10" s="2">
        <v>9</v>
      </c>
      <c r="B10" s="2" t="s">
        <v>365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</vt:i4>
      </vt:variant>
    </vt:vector>
  </HeadingPairs>
  <TitlesOfParts>
    <vt:vector size="60" baseType="lpstr">
      <vt:lpstr>Donors</vt:lpstr>
      <vt:lpstr>DonorTestActivities</vt:lpstr>
      <vt:lpstr>DonorTestActivitiesStatus</vt:lpstr>
      <vt:lpstr>DonorTestInfo</vt:lpstr>
      <vt:lpstr>SpecimenTransportAgencies</vt:lpstr>
      <vt:lpstr>SpecimenCollectionCupTypes</vt:lpstr>
      <vt:lpstr>DonorTestInfoSpecimenCollCup</vt:lpstr>
      <vt:lpstr>ReasonsForTest</vt:lpstr>
      <vt:lpstr>DonorReasonForTest</vt:lpstr>
      <vt:lpstr>TestCategories</vt:lpstr>
      <vt:lpstr>TestTypes</vt:lpstr>
      <vt:lpstr>DonorTestInfoTestTypes</vt:lpstr>
      <vt:lpstr>TestNames</vt:lpstr>
      <vt:lpstr>TestPanels</vt:lpstr>
      <vt:lpstr>TestPanelTestNames</vt:lpstr>
      <vt:lpstr>DonorTestInfoTestPanels</vt:lpstr>
      <vt:lpstr>DonorTestResults</vt:lpstr>
      <vt:lpstr>DonorTestResultsLab</vt:lpstr>
      <vt:lpstr>LabResultStatus</vt:lpstr>
      <vt:lpstr>DonorTestResultsMRO</vt:lpstr>
      <vt:lpstr>MROResultStatus</vt:lpstr>
      <vt:lpstr>Clients</vt:lpstr>
      <vt:lpstr>ClientContacts</vt:lpstr>
      <vt:lpstr>ClientTypes</vt:lpstr>
      <vt:lpstr>ClientAddresses</vt:lpstr>
      <vt:lpstr>Vendors</vt:lpstr>
      <vt:lpstr>VendorAddresses</vt:lpstr>
      <vt:lpstr>VendorTypes</vt:lpstr>
      <vt:lpstr>VendorServices</vt:lpstr>
      <vt:lpstr>VendorVendorServices</vt:lpstr>
      <vt:lpstr>MROs</vt:lpstr>
      <vt:lpstr>Programs</vt:lpstr>
      <vt:lpstr>ProgramTestCategories</vt:lpstr>
      <vt:lpstr>ClientPrograms</vt:lpstr>
      <vt:lpstr>ProgramPanels</vt:lpstr>
      <vt:lpstr>ClientProgramPanelTestPanels</vt:lpstr>
      <vt:lpstr>SalesRespresentatives</vt:lpstr>
      <vt:lpstr>DonorActivityNotes</vt:lpstr>
      <vt:lpstr>DonorActivityCategories</vt:lpstr>
      <vt:lpstr>Documents</vt:lpstr>
      <vt:lpstr>DonorDocuments</vt:lpstr>
      <vt:lpstr>Attorneys</vt:lpstr>
      <vt:lpstr>Judges</vt:lpstr>
      <vt:lpstr>Courts</vt:lpstr>
      <vt:lpstr>PaymentDetails</vt:lpstr>
      <vt:lpstr>DonorLegalInfo</vt:lpstr>
      <vt:lpstr>ResultsSent</vt:lpstr>
      <vt:lpstr>TestingAuthorities</vt:lpstr>
      <vt:lpstr>DonorLegalInfoResultsSent</vt:lpstr>
      <vt:lpstr>ProgramDetails</vt:lpstr>
      <vt:lpstr>ClientVendors</vt:lpstr>
      <vt:lpstr>DonorAccounting</vt:lpstr>
      <vt:lpstr>Users</vt:lpstr>
      <vt:lpstr>AuthorizationRules</vt:lpstr>
      <vt:lpstr>AuthorizationRuleCategories</vt:lpstr>
      <vt:lpstr>UserAuthorizationRules</vt:lpstr>
      <vt:lpstr>ImmunizationRecords</vt:lpstr>
      <vt:lpstr>DonorImmunizationRecords</vt:lpstr>
      <vt:lpstr>ASSUMPTIONS</vt:lpstr>
      <vt:lpstr>countsheets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Sindhu Saravanan</dc:creator>
  <cp:lastModifiedBy>ospluser</cp:lastModifiedBy>
  <dcterms:created xsi:type="dcterms:W3CDTF">2014-10-20T09:07:05Z</dcterms:created>
  <dcterms:modified xsi:type="dcterms:W3CDTF">2014-11-04T15:27:37Z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a3968540-55e8-47aa-8a8e-228bb2cdb3f1</vt:lpwstr>
  </property>
</Properties>
</file>